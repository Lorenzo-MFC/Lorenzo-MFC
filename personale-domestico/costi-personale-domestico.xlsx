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epilogo" sheetId="1" state="visible" r:id="rId3"/>
    <sheet name="Parametri" sheetId="2" state="visible" r:id="rId4"/>
    <sheet name="Registro contanti" sheetId="3" state="visible" r:id="rId5"/>
    <sheet name="Confronto se regola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<sst xmlns="http://schemas.openxmlformats.org/spreadsheetml/2006/main" count="155" uniqueCount="109">
  <si>
    <t xml:space="preserve">Personale di casa – costo reale (pagamento in contanti, senza contratto)</t>
  </si>
  <si>
    <t xml:space="preserve">Inserire in blu/giallo nome, mansione, paga oraria e ore settimanali. Il resto è calcolato.</t>
  </si>
  <si>
    <t xml:space="preserve">Lavoratrice</t>
  </si>
  <si>
    <t xml:space="preserve">Mansione</t>
  </si>
  <si>
    <t xml:space="preserve">Paga oraria (€)</t>
  </si>
  <si>
    <t xml:space="preserve">Ore / settimana</t>
  </si>
  <si>
    <t xml:space="preserve">Costo settimanale (€)</t>
  </si>
  <si>
    <t xml:space="preserve">Costo medio mensile (€)</t>
  </si>
  <si>
    <t xml:space="preserve">Costo annuo (€)</t>
  </si>
  <si>
    <t xml:space="preserve">% sul totale</t>
  </si>
  <si>
    <t xml:space="preserve">Oshina</t>
  </si>
  <si>
    <t xml:space="preserve">Colf</t>
  </si>
  <si>
    <t xml:space="preserve">Elisa</t>
  </si>
  <si>
    <t xml:space="preserve">Da specificare</t>
  </si>
  <si>
    <t xml:space="preserve">Corina</t>
  </si>
  <si>
    <t xml:space="preserve">TOTALE</t>
  </si>
  <si>
    <t xml:space="preserve">Indicatori</t>
  </si>
  <si>
    <t xml:space="preserve">Contanti da prelevare in un mese medio</t>
  </si>
  <si>
    <t xml:space="preserve">Contanti in un mese con 5 settimane</t>
  </si>
  <si>
    <t xml:space="preserve">Contanti in un mese con 4 settimane</t>
  </si>
  <si>
    <t xml:space="preserve">Ore totali di aiuto in casa all'anno</t>
  </si>
  <si>
    <t xml:space="preserve">Paga oraria media ponderata</t>
  </si>
  <si>
    <t xml:space="preserve">Note</t>
  </si>
  <si>
    <t xml:space="preserve">1. Paga oraria e ore settimanali indicati dall'utente. Mansioni di Elisa e Corina non specificate: modificarle in colonna B.</t>
  </si>
  <si>
    <t xml:space="preserve">2. Mese medio = 52 settimane / 12 = 4,33 settimane. I mesi con 5 settimane costano di più: vedi foglio 'Registro contanti'.</t>
  </si>
  <si>
    <t xml:space="preserve">3. Il foglio 'Confronto se regolare' mostra quanto costerebbe lo stesso aiuto con un contratto (contributi, 13ª, TFR, ferie pagate).</t>
  </si>
  <si>
    <t xml:space="preserve">Parametri</t>
  </si>
  <si>
    <t xml:space="preserve">Celle blu su sfondo giallo = modificabili. Tutti gli altri fogli si ricalcolano da qui.</t>
  </si>
  <si>
    <t xml:space="preserve">Parametro</t>
  </si>
  <si>
    <t xml:space="preserve">Valore</t>
  </si>
  <si>
    <t xml:space="preserve">Nota</t>
  </si>
  <si>
    <t xml:space="preserve">Anno del registro</t>
  </si>
  <si>
    <t xml:space="preserve">Anno usato nel Registro contanti per contare le settimane di ogni mese</t>
  </si>
  <si>
    <t xml:space="preserve">Settimane pagate / anno</t>
  </si>
  <si>
    <t xml:space="preserve">52 = si paga ogni settimana. Se in ferie/assenze non si paga, ridurre (es. 48)</t>
  </si>
  <si>
    <t xml:space="preserve">Mesi / anno</t>
  </si>
  <si>
    <t xml:space="preserve">Parametri per il confronto con un rapporto regolare</t>
  </si>
  <si>
    <t xml:space="preserve">Fonte / nota</t>
  </si>
  <si>
    <t xml:space="preserve">Settimane retribuite / anno (rapporto regolare)</t>
  </si>
  <si>
    <t xml:space="preserve">Con contratto le ferie (26 gg/anno, CCNL lavoro domestico) sono pagate: 52 settimane</t>
  </si>
  <si>
    <t xml:space="preserve">Mensilità di tredicesima</t>
  </si>
  <si>
    <t xml:space="preserve">CCNL lavoro domestico: 1 mensilità, a dicembre</t>
  </si>
  <si>
    <t xml:space="preserve">Divisore TFR</t>
  </si>
  <si>
    <t xml:space="preserve">Art. 2120 c.c.: TFR annuo = retribuzione annua (13ª inclusa) / 13,5</t>
  </si>
  <si>
    <t xml:space="preserve">Cassa Colf - totale (€/ora)</t>
  </si>
  <si>
    <t xml:space="preserve">Contributo assistenza contrattuale CCNL (0,04 datore + 0,02 lavoratore). Da verificare</t>
  </si>
  <si>
    <t xml:space="preserve">Contributi orari INPS lavoro domestico 2026 (con CUAF, tempo indeterminato, fino a 24 h/settimana)</t>
  </si>
  <si>
    <t xml:space="preserve">Fonte: INPS Circolare n. 9 del 03/02/2026 (come riportata da quifinanza.it, tutelaprevidenziale.it, edotto.com). Verificare sul sito INPS; si aggiorna ogni anno a gennaio/febbraio.</t>
  </si>
  <si>
    <t xml:space="preserve">Retribuzione oraria effettiva da (€)</t>
  </si>
  <si>
    <t xml:space="preserve">Contributo totale (€/h)</t>
  </si>
  <si>
    <t xml:space="preserve">di cui quota lavoratore (€/h)</t>
  </si>
  <si>
    <t xml:space="preserve">Fascia</t>
  </si>
  <si>
    <t xml:space="preserve">Fino a 9,61 €</t>
  </si>
  <si>
    <t xml:space="preserve">Da 9,62 a 11,70 €</t>
  </si>
  <si>
    <t xml:space="preserve">Oltre 11,70 €</t>
  </si>
  <si>
    <t xml:space="preserve">Oltre 24 ore settimanali (qualsiasi paga)</t>
  </si>
  <si>
    <t xml:space="preserve">&gt; 24 h/settimana</t>
  </si>
  <si>
    <t xml:space="preserve">La fascia si determina sulla paga oraria comprensiva del rateo di 13ª (paga × 13/12).</t>
  </si>
  <si>
    <t xml:space="preserve">Registro pagamenti in contanti</t>
  </si>
  <si>
    <t xml:space="preserve">Ore previste = ore settimanali × lunedì del mese. Se le ore reali sono diverse scriverle in 'Ore effettive' (se vuoto si usano le previste). Segnare data e SI quando pagato.</t>
  </si>
  <si>
    <t xml:space="preserve">Mese</t>
  </si>
  <si>
    <t xml:space="preserve">N. mese</t>
  </si>
  <si>
    <t xml:space="preserve">Ore previste</t>
  </si>
  <si>
    <t xml:space="preserve">Ore effettive</t>
  </si>
  <si>
    <t xml:space="preserve">Importo (€)</t>
  </si>
  <si>
    <t xml:space="preserve">Data pagamento</t>
  </si>
  <si>
    <t xml:space="preserve">Pagato (SI/NO)</t>
  </si>
  <si>
    <t xml:space="preserve">Gennaio</t>
  </si>
  <si>
    <t xml:space="preserve">Febbraio</t>
  </si>
  <si>
    <t xml:space="preserve">Marzo</t>
  </si>
  <si>
    <t xml:space="preserve">Aprile</t>
  </si>
  <si>
    <t xml:space="preserve">Maggio</t>
  </si>
  <si>
    <t xml:space="preserve">Giugno</t>
  </si>
  <si>
    <t xml:space="preserve">Luglio</t>
  </si>
  <si>
    <t xml:space="preserve">Agosto</t>
  </si>
  <si>
    <t xml:space="preserve">Settembre</t>
  </si>
  <si>
    <t xml:space="preserve">Ottobre</t>
  </si>
  <si>
    <t xml:space="preserve">Novembre</t>
  </si>
  <si>
    <t xml:space="preserve">Dicembre</t>
  </si>
  <si>
    <t xml:space="preserve">TOTALE ANNO</t>
  </si>
  <si>
    <t xml:space="preserve">Riepilogo mensile</t>
  </si>
  <si>
    <t xml:space="preserve">Totale mese (€)</t>
  </si>
  <si>
    <t xml:space="preserve">Pagamenti da fare</t>
  </si>
  <si>
    <t xml:space="preserve">Quanto costerebbe lo stesso aiuto con un contratto regolare</t>
  </si>
  <si>
    <t xml:space="preserve">Stesse paghe orarie e ore del Riepilogo. Parametri INPS 2026 nel foglio Parametri. La famiglia paga anche la quota INPS della lavoratrice (paga concordata netta).</t>
  </si>
  <si>
    <t xml:space="preserve">Paghe 52 settimane, ferie incluse (€)</t>
  </si>
  <si>
    <t xml:space="preserve">Tredicesima (€)</t>
  </si>
  <si>
    <t xml:space="preserve">Paga oraria incl. 13ª (€)</t>
  </si>
  <si>
    <t xml:space="preserve">Contributo INPS orario (€)</t>
  </si>
  <si>
    <t xml:space="preserve">INPS annuo (€)</t>
  </si>
  <si>
    <t xml:space="preserve">Cassa Colf annua (€)</t>
  </si>
  <si>
    <t xml:space="preserve">TFR annuo (€)</t>
  </si>
  <si>
    <t xml:space="preserve">COSTO REGOLARE ANNUO (€)</t>
  </si>
  <si>
    <t xml:space="preserve">Costo attuale in contanti (€)</t>
  </si>
  <si>
    <t xml:space="preserve">Differenza annua (€)</t>
  </si>
  <si>
    <t xml:space="preserve">Differenza mensile (€)</t>
  </si>
  <si>
    <t xml:space="preserve">Rincaro %</t>
  </si>
  <si>
    <t xml:space="preserve">Se si regolarizza: cosa cambia in pratica</t>
  </si>
  <si>
    <t xml:space="preserve">Contributi INPS + Cassa Colf per trimestre (pagoPA, scad. 10/4, 10/7, 10/10, 10/1)</t>
  </si>
  <si>
    <t xml:space="preserve">TFR da accantonare ogni mese</t>
  </si>
  <si>
    <t xml:space="preserve">Tredicesime da pagare a dicembre</t>
  </si>
  <si>
    <t xml:space="preserve">Contributi deducibili dal reddito (quota datore, max 1.549,37 €) – stima</t>
  </si>
  <si>
    <t xml:space="preserve">Art. 10 c.2 TUIR: deducibili i soli contributi a carico del datore. Il risparmio d'imposta dipende dall'aliquota IRPEF.</t>
  </si>
  <si>
    <t xml:space="preserve">Rischi del rapporto senza contratto (informativo)</t>
  </si>
  <si>
    <t xml:space="preserve">• La lavoratrice può chiedere, anche anni dopo la fine del rapporto, 13ª, ferie, TFR e differenze: in pratica i valori della tabella sopra per ogni anno lavorato.</t>
  </si>
  <si>
    <t xml:space="preserve">• INPS può recuperare i contributi non versati degli ultimi 5 anni, con sanzioni civili e interessi.</t>
  </si>
  <si>
    <t xml:space="preserve">• Senza assicurazione INAIL (inclusa nei contributi), un infortunio in casa resta a carico della famiglia.</t>
  </si>
  <si>
    <t xml:space="preserve">• Il pagamento in contanti per il lavoro domestico è comunque ammesso (anche con contratto), sotto la soglia di 5.000 €.</t>
  </si>
  <si>
    <t xml:space="preserve">• Per una valutazione sulla propria situazione: patronato, CAF o associazioni datori di lavoro domestico (es. Assindatcolf, Domina).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</si>
</sst>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€ &quot;#,##0.00;&quot;(€ &quot;#,##0.00\);\-"/>
    <numFmt numFmtId="166" formatCode="0.0"/>
    <numFmt numFmtId="167" formatCode="0.0%;\(0.0%\);\-"/>
    <numFmt numFmtId="168" formatCode="#,##0"/>
    <numFmt numFmtId="169" formatCode="0"/>
    <numFmt numFmtId="170" formatCode="&quot;€ &quot;0.00"/>
    <numFmt numFmtId="171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5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n">
        <v>11.5</v>
      </c>
      <c r="D5" s="6" t="n">
        <v>9</v>
      </c>
      <c r="E5" s="7" t="n">
        <f aca="false">C5*D5</f>
        <v>103.5</v>
      </c>
      <c r="F5" s="7" t="n">
        <f aca="false">E5*Parametri!$B$6/Parametri!$B$7</f>
        <v>448.5</v>
      </c>
      <c r="G5" s="8" t="n">
        <f aca="false">E5*Parametri!$B$6</f>
        <v>5382</v>
      </c>
      <c r="H5" s="9" t="n">
        <f aca="false">IF($G$8=0,0,G5/$G$8)</f>
        <v>0.480278422273782</v>
      </c>
    </row>
    <row r="6" customFormat="false" ht="15" hidden="false" customHeight="false" outlineLevel="0" collapsed="false">
      <c r="A6" s="4" t="s">
        <v>12</v>
      </c>
      <c r="B6" s="4" t="s">
        <v>13</v>
      </c>
      <c r="C6" s="5" t="n">
        <v>12</v>
      </c>
      <c r="D6" s="6" t="n">
        <v>6</v>
      </c>
      <c r="E6" s="7" t="n">
        <f aca="false">C6*D6</f>
        <v>72</v>
      </c>
      <c r="F6" s="7" t="n">
        <f aca="false">E6*Parametri!$B$6/Parametri!$B$7</f>
        <v>312</v>
      </c>
      <c r="G6" s="8" t="n">
        <f aca="false">E6*Parametri!$B$6</f>
        <v>3744</v>
      </c>
      <c r="H6" s="9" t="n">
        <f aca="false">IF($G$8=0,0,G6/$G$8)</f>
        <v>0.334106728538283</v>
      </c>
    </row>
    <row r="7" customFormat="false" ht="15" hidden="false" customHeight="false" outlineLevel="0" collapsed="false">
      <c r="A7" s="4" t="s">
        <v>14</v>
      </c>
      <c r="B7" s="4" t="s">
        <v>13</v>
      </c>
      <c r="C7" s="5" t="n">
        <v>10</v>
      </c>
      <c r="D7" s="6" t="n">
        <v>4</v>
      </c>
      <c r="E7" s="7" t="n">
        <f aca="false">C7*D7</f>
        <v>40</v>
      </c>
      <c r="F7" s="7" t="n">
        <f aca="false">E7*Parametri!$B$6/Parametri!$B$7</f>
        <v>173.333333333333</v>
      </c>
      <c r="G7" s="8" t="n">
        <f aca="false">E7*Parametri!$B$6</f>
        <v>2080</v>
      </c>
      <c r="H7" s="9" t="n">
        <f aca="false">IF($G$8=0,0,G7/$G$8)</f>
        <v>0.185614849187935</v>
      </c>
    </row>
    <row r="8" customFormat="false" ht="15" hidden="false" customHeight="false" outlineLevel="0" collapsed="false">
      <c r="A8" s="10" t="s">
        <v>15</v>
      </c>
      <c r="B8" s="10"/>
      <c r="C8" s="11" t="n">
        <f aca="false">IF(D8=0,0,E8/D8)</f>
        <v>11.3421052631579</v>
      </c>
      <c r="D8" s="12" t="n">
        <f aca="false">SUM(D5:D7)</f>
        <v>19</v>
      </c>
      <c r="E8" s="11" t="n">
        <f aca="false">SUM(E5:E7)</f>
        <v>215.5</v>
      </c>
      <c r="F8" s="11" t="n">
        <f aca="false">SUM(F5:F7)</f>
        <v>933.833333333333</v>
      </c>
      <c r="G8" s="11" t="n">
        <f aca="false">SUM(G5:G7)</f>
        <v>11206</v>
      </c>
      <c r="H8" s="13" t="n">
        <f aca="false">SUM(H5:H7)</f>
        <v>1</v>
      </c>
    </row>
    <row r="11" customFormat="false" ht="15" hidden="false" customHeight="false" outlineLevel="0" collapsed="false">
      <c r="A11" s="14" t="s">
        <v>16</v>
      </c>
    </row>
    <row r="12" customFormat="false" ht="15" hidden="false" customHeight="false" outlineLevel="0" collapsed="false">
      <c r="A12" s="15" t="s">
        <v>17</v>
      </c>
      <c r="B12" s="8" t="n">
        <f aca="false">F8</f>
        <v>933.833333333333</v>
      </c>
    </row>
    <row r="13" customFormat="false" ht="15" hidden="false" customHeight="false" outlineLevel="0" collapsed="false">
      <c r="A13" s="15" t="s">
        <v>18</v>
      </c>
      <c r="B13" s="8" t="n">
        <f aca="false">E8*5</f>
        <v>1077.5</v>
      </c>
    </row>
    <row r="14" customFormat="false" ht="15" hidden="false" customHeight="false" outlineLevel="0" collapsed="false">
      <c r="A14" s="15" t="s">
        <v>19</v>
      </c>
      <c r="B14" s="8" t="n">
        <f aca="false">E8*4</f>
        <v>862</v>
      </c>
    </row>
    <row r="15" customFormat="false" ht="15" hidden="false" customHeight="false" outlineLevel="0" collapsed="false">
      <c r="A15" s="15" t="s">
        <v>20</v>
      </c>
      <c r="B15" s="16" t="n">
        <f aca="false">D8*Parametri!$B$6</f>
        <v>988</v>
      </c>
    </row>
    <row r="16" customFormat="false" ht="15" hidden="false" customHeight="false" outlineLevel="0" collapsed="false">
      <c r="A16" s="15" t="s">
        <v>21</v>
      </c>
      <c r="B16" s="8" t="n">
        <f aca="false">C8</f>
        <v>11.3421052631579</v>
      </c>
    </row>
    <row r="19" customFormat="false" ht="15" hidden="false" customHeight="false" outlineLevel="0" collapsed="false">
      <c r="A19" s="14" t="s">
        <v>22</v>
      </c>
    </row>
    <row r="20" customFormat="false" ht="15" hidden="false" customHeight="false" outlineLevel="0" collapsed="false">
      <c r="A20" s="17" t="s">
        <v>23</v>
      </c>
    </row>
    <row r="21" customFormat="false" ht="15" hidden="false" customHeight="false" outlineLevel="0" collapsed="false">
      <c r="A21" s="17" t="s">
        <v>24</v>
      </c>
    </row>
    <row r="22" customFormat="false" ht="15" hidden="false" customHeight="false" outlineLevel="0" collapsed="false">
      <c r="A22" s="1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85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9.5" hidden="false" customHeight="true" outlineLevel="0" collapsed="false">
      <c r="A4" s="3" t="s">
        <v>28</v>
      </c>
      <c r="B4" s="3" t="s">
        <v>29</v>
      </c>
      <c r="C4" s="3" t="s">
        <v>30</v>
      </c>
    </row>
    <row r="5" customFormat="false" ht="15" hidden="false" customHeight="false" outlineLevel="0" collapsed="false">
      <c r="A5" s="15" t="s">
        <v>31</v>
      </c>
      <c r="B5" s="18" t="n">
        <v>2027</v>
      </c>
      <c r="C5" s="19" t="s">
        <v>32</v>
      </c>
    </row>
    <row r="6" customFormat="false" ht="15" hidden="false" customHeight="false" outlineLevel="0" collapsed="false">
      <c r="A6" s="15" t="s">
        <v>33</v>
      </c>
      <c r="B6" s="18" t="n">
        <v>52</v>
      </c>
      <c r="C6" s="19" t="s">
        <v>34</v>
      </c>
    </row>
    <row r="7" customFormat="false" ht="15" hidden="false" customHeight="false" outlineLevel="0" collapsed="false">
      <c r="A7" s="15" t="s">
        <v>35</v>
      </c>
      <c r="B7" s="18" t="n">
        <v>12</v>
      </c>
      <c r="C7" s="19"/>
    </row>
    <row r="10" customFormat="false" ht="15" hidden="false" customHeight="false" outlineLevel="0" collapsed="false">
      <c r="A10" s="14" t="s">
        <v>36</v>
      </c>
    </row>
    <row r="11" customFormat="false" ht="19.5" hidden="false" customHeight="true" outlineLevel="0" collapsed="false">
      <c r="A11" s="3" t="s">
        <v>28</v>
      </c>
      <c r="B11" s="3" t="s">
        <v>29</v>
      </c>
      <c r="C11" s="3" t="s">
        <v>37</v>
      </c>
    </row>
    <row r="12" customFormat="false" ht="15" hidden="false" customHeight="false" outlineLevel="0" collapsed="false">
      <c r="A12" s="15" t="s">
        <v>38</v>
      </c>
      <c r="B12" s="18" t="n">
        <v>52</v>
      </c>
      <c r="C12" s="19" t="s">
        <v>39</v>
      </c>
    </row>
    <row r="13" customFormat="false" ht="15" hidden="false" customHeight="false" outlineLevel="0" collapsed="false">
      <c r="A13" s="15" t="s">
        <v>40</v>
      </c>
      <c r="B13" s="18" t="n">
        <v>1</v>
      </c>
      <c r="C13" s="19" t="s">
        <v>41</v>
      </c>
    </row>
    <row r="14" customFormat="false" ht="15" hidden="false" customHeight="false" outlineLevel="0" collapsed="false">
      <c r="A14" s="15" t="s">
        <v>42</v>
      </c>
      <c r="B14" s="6" t="n">
        <v>13.5</v>
      </c>
      <c r="C14" s="19" t="s">
        <v>43</v>
      </c>
    </row>
    <row r="15" customFormat="false" ht="15" hidden="false" customHeight="false" outlineLevel="0" collapsed="false">
      <c r="A15" s="15" t="s">
        <v>44</v>
      </c>
      <c r="B15" s="20" t="n">
        <v>0.06</v>
      </c>
      <c r="C15" s="19" t="s">
        <v>45</v>
      </c>
    </row>
    <row r="18" customFormat="false" ht="15" hidden="false" customHeight="false" outlineLevel="0" collapsed="false">
      <c r="A18" s="14" t="s">
        <v>46</v>
      </c>
    </row>
    <row r="19" customFormat="false" ht="15" hidden="false" customHeight="false" outlineLevel="0" collapsed="false">
      <c r="A19" s="2" t="s">
        <v>47</v>
      </c>
    </row>
    <row r="20" customFormat="false" ht="30" hidden="false" customHeight="true" outlineLevel="0" collapsed="false">
      <c r="A20" s="3" t="s">
        <v>48</v>
      </c>
      <c r="B20" s="3" t="s">
        <v>49</v>
      </c>
      <c r="C20" s="3" t="s">
        <v>50</v>
      </c>
      <c r="D20" s="3" t="s">
        <v>51</v>
      </c>
    </row>
    <row r="21" customFormat="false" ht="15" hidden="false" customHeight="false" outlineLevel="0" collapsed="false">
      <c r="A21" s="20" t="n">
        <v>0</v>
      </c>
      <c r="B21" s="20" t="n">
        <v>1.7</v>
      </c>
      <c r="C21" s="20" t="n">
        <v>0.43</v>
      </c>
      <c r="D21" s="15" t="s">
        <v>52</v>
      </c>
    </row>
    <row r="22" customFormat="false" ht="15" hidden="false" customHeight="false" outlineLevel="0" collapsed="false">
      <c r="A22" s="20" t="n">
        <v>9.62</v>
      </c>
      <c r="B22" s="20" t="n">
        <v>1.92</v>
      </c>
      <c r="C22" s="20" t="n">
        <v>0.48</v>
      </c>
      <c r="D22" s="15" t="s">
        <v>53</v>
      </c>
    </row>
    <row r="23" customFormat="false" ht="15" hidden="false" customHeight="false" outlineLevel="0" collapsed="false">
      <c r="A23" s="20" t="n">
        <v>11.71</v>
      </c>
      <c r="B23" s="20" t="n">
        <v>2.34</v>
      </c>
      <c r="C23" s="20" t="n">
        <v>0.59</v>
      </c>
      <c r="D23" s="15" t="s">
        <v>54</v>
      </c>
    </row>
    <row r="24" customFormat="false" ht="15" hidden="false" customHeight="false" outlineLevel="0" collapsed="false">
      <c r="A24" s="15" t="s">
        <v>55</v>
      </c>
      <c r="B24" s="20" t="n">
        <v>1.24</v>
      </c>
      <c r="C24" s="20" t="n">
        <v>0.31</v>
      </c>
      <c r="D24" s="15" t="s">
        <v>56</v>
      </c>
    </row>
    <row r="25" customFormat="false" ht="15" hidden="false" customHeight="false" outlineLevel="0" collapsed="false">
      <c r="A25" s="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28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45" hidden="false" customHeight="true" outlineLevel="0" collapsed="false">
      <c r="A4" s="3" t="s">
        <v>60</v>
      </c>
      <c r="B4" s="3" t="s">
        <v>61</v>
      </c>
      <c r="C4" s="3" t="s">
        <v>2</v>
      </c>
      <c r="D4" s="3" t="s">
        <v>4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22</v>
      </c>
    </row>
    <row r="5" customFormat="false" ht="15" hidden="false" customHeight="false" outlineLevel="0" collapsed="false">
      <c r="A5" s="15" t="s">
        <v>67</v>
      </c>
      <c r="B5" s="21" t="n">
        <v>1</v>
      </c>
      <c r="C5" s="22" t="str">
        <f aca="false">Riepilogo!$A$5</f>
        <v>Oshina</v>
      </c>
      <c r="D5" s="23" t="n">
        <f aca="false">Riepilogo!$C$5</f>
        <v>11.5</v>
      </c>
      <c r="E5" s="24" t="n">
        <f aca="false">Riepilogo!$D$5*SUMPRODUCT(--(WEEKDAY(DATE(Parametri!$B$5,B5,1)+ROW($A$1:$A$31)-1,2)=1),--(ROW($A$1:$A$31)&lt;=DAY(DATE(Parametri!$B$5,B5+1,0))))</f>
        <v>36</v>
      </c>
      <c r="F5" s="6"/>
      <c r="G5" s="7" t="n">
        <f aca="false">IF(F5="",E5,F5)*D5</f>
        <v>414</v>
      </c>
      <c r="H5" s="25"/>
      <c r="I5" s="4"/>
      <c r="J5" s="26"/>
    </row>
    <row r="6" customFormat="false" ht="15" hidden="false" customHeight="false" outlineLevel="0" collapsed="false">
      <c r="A6" s="15" t="s">
        <v>67</v>
      </c>
      <c r="B6" s="21" t="n">
        <v>1</v>
      </c>
      <c r="C6" s="22" t="str">
        <f aca="false">Riepilogo!$A$6</f>
        <v>Elisa</v>
      </c>
      <c r="D6" s="23" t="n">
        <f aca="false">Riepilogo!$C$6</f>
        <v>12</v>
      </c>
      <c r="E6" s="24" t="n">
        <f aca="false">Riepilogo!$D$6*SUMPRODUCT(--(WEEKDAY(DATE(Parametri!$B$5,B6,1)+ROW($A$1:$A$31)-1,2)=1),--(ROW($A$1:$A$31)&lt;=DAY(DATE(Parametri!$B$5,B6+1,0))))</f>
        <v>24</v>
      </c>
      <c r="F6" s="6"/>
      <c r="G6" s="7" t="n">
        <f aca="false">IF(F6="",E6,F6)*D6</f>
        <v>288</v>
      </c>
      <c r="H6" s="25"/>
      <c r="I6" s="4"/>
      <c r="J6" s="26"/>
    </row>
    <row r="7" customFormat="false" ht="15" hidden="false" customHeight="false" outlineLevel="0" collapsed="false">
      <c r="A7" s="15" t="s">
        <v>67</v>
      </c>
      <c r="B7" s="21" t="n">
        <v>1</v>
      </c>
      <c r="C7" s="22" t="str">
        <f aca="false">Riepilogo!$A$7</f>
        <v>Corina</v>
      </c>
      <c r="D7" s="23" t="n">
        <f aca="false">Riepilogo!$C$7</f>
        <v>10</v>
      </c>
      <c r="E7" s="24" t="n">
        <f aca="false">Riepilogo!$D$7*SUMPRODUCT(--(WEEKDAY(DATE(Parametri!$B$5,B7,1)+ROW($A$1:$A$31)-1,2)=1),--(ROW($A$1:$A$31)&lt;=DAY(DATE(Parametri!$B$5,B7+1,0))))</f>
        <v>16</v>
      </c>
      <c r="F7" s="6"/>
      <c r="G7" s="7" t="n">
        <f aca="false">IF(F7="",E7,F7)*D7</f>
        <v>160</v>
      </c>
      <c r="H7" s="25"/>
      <c r="I7" s="4"/>
      <c r="J7" s="26"/>
    </row>
    <row r="8" customFormat="false" ht="15" hidden="false" customHeight="false" outlineLevel="0" collapsed="false">
      <c r="A8" s="15" t="s">
        <v>68</v>
      </c>
      <c r="B8" s="21" t="n">
        <v>2</v>
      </c>
      <c r="C8" s="22" t="str">
        <f aca="false">Riepilogo!$A$5</f>
        <v>Oshina</v>
      </c>
      <c r="D8" s="23" t="n">
        <f aca="false">Riepilogo!$C$5</f>
        <v>11.5</v>
      </c>
      <c r="E8" s="24" t="n">
        <f aca="false">Riepilogo!$D$5*SUMPRODUCT(--(WEEKDAY(DATE(Parametri!$B$5,B8,1)+ROW($A$1:$A$31)-1,2)=1),--(ROW($A$1:$A$31)&lt;=DAY(DATE(Parametri!$B$5,B8+1,0))))</f>
        <v>36</v>
      </c>
      <c r="F8" s="6"/>
      <c r="G8" s="7" t="n">
        <f aca="false">IF(F8="",E8,F8)*D8</f>
        <v>414</v>
      </c>
      <c r="H8" s="25"/>
      <c r="I8" s="4"/>
      <c r="J8" s="26"/>
    </row>
    <row r="9" customFormat="false" ht="15" hidden="false" customHeight="false" outlineLevel="0" collapsed="false">
      <c r="A9" s="15" t="s">
        <v>68</v>
      </c>
      <c r="B9" s="21" t="n">
        <v>2</v>
      </c>
      <c r="C9" s="22" t="str">
        <f aca="false">Riepilogo!$A$6</f>
        <v>Elisa</v>
      </c>
      <c r="D9" s="23" t="n">
        <f aca="false">Riepilogo!$C$6</f>
        <v>12</v>
      </c>
      <c r="E9" s="24" t="n">
        <f aca="false">Riepilogo!$D$6*SUMPRODUCT(--(WEEKDAY(DATE(Parametri!$B$5,B9,1)+ROW($A$1:$A$31)-1,2)=1),--(ROW($A$1:$A$31)&lt;=DAY(DATE(Parametri!$B$5,B9+1,0))))</f>
        <v>24</v>
      </c>
      <c r="F9" s="6"/>
      <c r="G9" s="7" t="n">
        <f aca="false">IF(F9="",E9,F9)*D9</f>
        <v>288</v>
      </c>
      <c r="H9" s="25"/>
      <c r="I9" s="4"/>
      <c r="J9" s="26"/>
    </row>
    <row r="10" customFormat="false" ht="15" hidden="false" customHeight="false" outlineLevel="0" collapsed="false">
      <c r="A10" s="15" t="s">
        <v>68</v>
      </c>
      <c r="B10" s="21" t="n">
        <v>2</v>
      </c>
      <c r="C10" s="22" t="str">
        <f aca="false">Riepilogo!$A$7</f>
        <v>Corina</v>
      </c>
      <c r="D10" s="23" t="n">
        <f aca="false">Riepilogo!$C$7</f>
        <v>10</v>
      </c>
      <c r="E10" s="24" t="n">
        <f aca="false">Riepilogo!$D$7*SUMPRODUCT(--(WEEKDAY(DATE(Parametri!$B$5,B10,1)+ROW($A$1:$A$31)-1,2)=1),--(ROW($A$1:$A$31)&lt;=DAY(DATE(Parametri!$B$5,B10+1,0))))</f>
        <v>16</v>
      </c>
      <c r="F10" s="6"/>
      <c r="G10" s="7" t="n">
        <f aca="false">IF(F10="",E10,F10)*D10</f>
        <v>160</v>
      </c>
      <c r="H10" s="25"/>
      <c r="I10" s="4"/>
      <c r="J10" s="26"/>
    </row>
    <row r="11" customFormat="false" ht="15" hidden="false" customHeight="false" outlineLevel="0" collapsed="false">
      <c r="A11" s="15" t="s">
        <v>69</v>
      </c>
      <c r="B11" s="21" t="n">
        <v>3</v>
      </c>
      <c r="C11" s="22" t="str">
        <f aca="false">Riepilogo!$A$5</f>
        <v>Oshina</v>
      </c>
      <c r="D11" s="23" t="n">
        <f aca="false">Riepilogo!$C$5</f>
        <v>11.5</v>
      </c>
      <c r="E11" s="24" t="n">
        <f aca="false">Riepilogo!$D$5*SUMPRODUCT(--(WEEKDAY(DATE(Parametri!$B$5,B11,1)+ROW($A$1:$A$31)-1,2)=1),--(ROW($A$1:$A$31)&lt;=DAY(DATE(Parametri!$B$5,B11+1,0))))</f>
        <v>45</v>
      </c>
      <c r="F11" s="6"/>
      <c r="G11" s="7" t="n">
        <f aca="false">IF(F11="",E11,F11)*D11</f>
        <v>517.5</v>
      </c>
      <c r="H11" s="25"/>
      <c r="I11" s="4"/>
      <c r="J11" s="26"/>
    </row>
    <row r="12" customFormat="false" ht="15" hidden="false" customHeight="false" outlineLevel="0" collapsed="false">
      <c r="A12" s="15" t="s">
        <v>69</v>
      </c>
      <c r="B12" s="21" t="n">
        <v>3</v>
      </c>
      <c r="C12" s="22" t="str">
        <f aca="false">Riepilogo!$A$6</f>
        <v>Elisa</v>
      </c>
      <c r="D12" s="23" t="n">
        <f aca="false">Riepilogo!$C$6</f>
        <v>12</v>
      </c>
      <c r="E12" s="24" t="n">
        <f aca="false">Riepilogo!$D$6*SUMPRODUCT(--(WEEKDAY(DATE(Parametri!$B$5,B12,1)+ROW($A$1:$A$31)-1,2)=1),--(ROW($A$1:$A$31)&lt;=DAY(DATE(Parametri!$B$5,B12+1,0))))</f>
        <v>30</v>
      </c>
      <c r="F12" s="6"/>
      <c r="G12" s="7" t="n">
        <f aca="false">IF(F12="",E12,F12)*D12</f>
        <v>360</v>
      </c>
      <c r="H12" s="25"/>
      <c r="I12" s="4"/>
      <c r="J12" s="26"/>
    </row>
    <row r="13" customFormat="false" ht="15" hidden="false" customHeight="false" outlineLevel="0" collapsed="false">
      <c r="A13" s="15" t="s">
        <v>69</v>
      </c>
      <c r="B13" s="21" t="n">
        <v>3</v>
      </c>
      <c r="C13" s="22" t="str">
        <f aca="false">Riepilogo!$A$7</f>
        <v>Corina</v>
      </c>
      <c r="D13" s="23" t="n">
        <f aca="false">Riepilogo!$C$7</f>
        <v>10</v>
      </c>
      <c r="E13" s="24" t="n">
        <f aca="false">Riepilogo!$D$7*SUMPRODUCT(--(WEEKDAY(DATE(Parametri!$B$5,B13,1)+ROW($A$1:$A$31)-1,2)=1),--(ROW($A$1:$A$31)&lt;=DAY(DATE(Parametri!$B$5,B13+1,0))))</f>
        <v>20</v>
      </c>
      <c r="F13" s="6"/>
      <c r="G13" s="7" t="n">
        <f aca="false">IF(F13="",E13,F13)*D13</f>
        <v>200</v>
      </c>
      <c r="H13" s="25"/>
      <c r="I13" s="4"/>
      <c r="J13" s="26"/>
    </row>
    <row r="14" customFormat="false" ht="15" hidden="false" customHeight="false" outlineLevel="0" collapsed="false">
      <c r="A14" s="15" t="s">
        <v>70</v>
      </c>
      <c r="B14" s="21" t="n">
        <v>4</v>
      </c>
      <c r="C14" s="22" t="str">
        <f aca="false">Riepilogo!$A$5</f>
        <v>Oshina</v>
      </c>
      <c r="D14" s="23" t="n">
        <f aca="false">Riepilogo!$C$5</f>
        <v>11.5</v>
      </c>
      <c r="E14" s="24" t="n">
        <f aca="false">Riepilogo!$D$5*SUMPRODUCT(--(WEEKDAY(DATE(Parametri!$B$5,B14,1)+ROW($A$1:$A$31)-1,2)=1),--(ROW($A$1:$A$31)&lt;=DAY(DATE(Parametri!$B$5,B14+1,0))))</f>
        <v>36</v>
      </c>
      <c r="F14" s="6"/>
      <c r="G14" s="7" t="n">
        <f aca="false">IF(F14="",E14,F14)*D14</f>
        <v>414</v>
      </c>
      <c r="H14" s="25"/>
      <c r="I14" s="4"/>
      <c r="J14" s="26"/>
    </row>
    <row r="15" customFormat="false" ht="15" hidden="false" customHeight="false" outlineLevel="0" collapsed="false">
      <c r="A15" s="15" t="s">
        <v>70</v>
      </c>
      <c r="B15" s="21" t="n">
        <v>4</v>
      </c>
      <c r="C15" s="22" t="str">
        <f aca="false">Riepilogo!$A$6</f>
        <v>Elisa</v>
      </c>
      <c r="D15" s="23" t="n">
        <f aca="false">Riepilogo!$C$6</f>
        <v>12</v>
      </c>
      <c r="E15" s="24" t="n">
        <f aca="false">Riepilogo!$D$6*SUMPRODUCT(--(WEEKDAY(DATE(Parametri!$B$5,B15,1)+ROW($A$1:$A$31)-1,2)=1),--(ROW($A$1:$A$31)&lt;=DAY(DATE(Parametri!$B$5,B15+1,0))))</f>
        <v>24</v>
      </c>
      <c r="F15" s="6"/>
      <c r="G15" s="7" t="n">
        <f aca="false">IF(F15="",E15,F15)*D15</f>
        <v>288</v>
      </c>
      <c r="H15" s="25"/>
      <c r="I15" s="4"/>
      <c r="J15" s="26"/>
    </row>
    <row r="16" customFormat="false" ht="15" hidden="false" customHeight="false" outlineLevel="0" collapsed="false">
      <c r="A16" s="15" t="s">
        <v>70</v>
      </c>
      <c r="B16" s="21" t="n">
        <v>4</v>
      </c>
      <c r="C16" s="22" t="str">
        <f aca="false">Riepilogo!$A$7</f>
        <v>Corina</v>
      </c>
      <c r="D16" s="23" t="n">
        <f aca="false">Riepilogo!$C$7</f>
        <v>10</v>
      </c>
      <c r="E16" s="24" t="n">
        <f aca="false">Riepilogo!$D$7*SUMPRODUCT(--(WEEKDAY(DATE(Parametri!$B$5,B16,1)+ROW($A$1:$A$31)-1,2)=1),--(ROW($A$1:$A$31)&lt;=DAY(DATE(Parametri!$B$5,B16+1,0))))</f>
        <v>16</v>
      </c>
      <c r="F16" s="6"/>
      <c r="G16" s="7" t="n">
        <f aca="false">IF(F16="",E16,F16)*D16</f>
        <v>160</v>
      </c>
      <c r="H16" s="25"/>
      <c r="I16" s="4"/>
      <c r="J16" s="26"/>
    </row>
    <row r="17" customFormat="false" ht="15" hidden="false" customHeight="false" outlineLevel="0" collapsed="false">
      <c r="A17" s="15" t="s">
        <v>71</v>
      </c>
      <c r="B17" s="21" t="n">
        <v>5</v>
      </c>
      <c r="C17" s="22" t="str">
        <f aca="false">Riepilogo!$A$5</f>
        <v>Oshina</v>
      </c>
      <c r="D17" s="23" t="n">
        <f aca="false">Riepilogo!$C$5</f>
        <v>11.5</v>
      </c>
      <c r="E17" s="24" t="n">
        <f aca="false">Riepilogo!$D$5*SUMPRODUCT(--(WEEKDAY(DATE(Parametri!$B$5,B17,1)+ROW($A$1:$A$31)-1,2)=1),--(ROW($A$1:$A$31)&lt;=DAY(DATE(Parametri!$B$5,B17+1,0))))</f>
        <v>45</v>
      </c>
      <c r="F17" s="6"/>
      <c r="G17" s="7" t="n">
        <f aca="false">IF(F17="",E17,F17)*D17</f>
        <v>517.5</v>
      </c>
      <c r="H17" s="25"/>
      <c r="I17" s="4"/>
      <c r="J17" s="26"/>
    </row>
    <row r="18" customFormat="false" ht="15" hidden="false" customHeight="false" outlineLevel="0" collapsed="false">
      <c r="A18" s="15" t="s">
        <v>71</v>
      </c>
      <c r="B18" s="21" t="n">
        <v>5</v>
      </c>
      <c r="C18" s="22" t="str">
        <f aca="false">Riepilogo!$A$6</f>
        <v>Elisa</v>
      </c>
      <c r="D18" s="23" t="n">
        <f aca="false">Riepilogo!$C$6</f>
        <v>12</v>
      </c>
      <c r="E18" s="24" t="n">
        <f aca="false">Riepilogo!$D$6*SUMPRODUCT(--(WEEKDAY(DATE(Parametri!$B$5,B18,1)+ROW($A$1:$A$31)-1,2)=1),--(ROW($A$1:$A$31)&lt;=DAY(DATE(Parametri!$B$5,B18+1,0))))</f>
        <v>30</v>
      </c>
      <c r="F18" s="6"/>
      <c r="G18" s="7" t="n">
        <f aca="false">IF(F18="",E18,F18)*D18</f>
        <v>360</v>
      </c>
      <c r="H18" s="25"/>
      <c r="I18" s="4"/>
      <c r="J18" s="26"/>
    </row>
    <row r="19" customFormat="false" ht="15" hidden="false" customHeight="false" outlineLevel="0" collapsed="false">
      <c r="A19" s="15" t="s">
        <v>71</v>
      </c>
      <c r="B19" s="21" t="n">
        <v>5</v>
      </c>
      <c r="C19" s="22" t="str">
        <f aca="false">Riepilogo!$A$7</f>
        <v>Corina</v>
      </c>
      <c r="D19" s="23" t="n">
        <f aca="false">Riepilogo!$C$7</f>
        <v>10</v>
      </c>
      <c r="E19" s="24" t="n">
        <f aca="false">Riepilogo!$D$7*SUMPRODUCT(--(WEEKDAY(DATE(Parametri!$B$5,B19,1)+ROW($A$1:$A$31)-1,2)=1),--(ROW($A$1:$A$31)&lt;=DAY(DATE(Parametri!$B$5,B19+1,0))))</f>
        <v>20</v>
      </c>
      <c r="F19" s="6"/>
      <c r="G19" s="7" t="n">
        <f aca="false">IF(F19="",E19,F19)*D19</f>
        <v>200</v>
      </c>
      <c r="H19" s="25"/>
      <c r="I19" s="4"/>
      <c r="J19" s="26"/>
    </row>
    <row r="20" customFormat="false" ht="15" hidden="false" customHeight="false" outlineLevel="0" collapsed="false">
      <c r="A20" s="15" t="s">
        <v>72</v>
      </c>
      <c r="B20" s="21" t="n">
        <v>6</v>
      </c>
      <c r="C20" s="22" t="str">
        <f aca="false">Riepilogo!$A$5</f>
        <v>Oshina</v>
      </c>
      <c r="D20" s="23" t="n">
        <f aca="false">Riepilogo!$C$5</f>
        <v>11.5</v>
      </c>
      <c r="E20" s="24" t="n">
        <f aca="false">Riepilogo!$D$5*SUMPRODUCT(--(WEEKDAY(DATE(Parametri!$B$5,B20,1)+ROW($A$1:$A$31)-1,2)=1),--(ROW($A$1:$A$31)&lt;=DAY(DATE(Parametri!$B$5,B20+1,0))))</f>
        <v>36</v>
      </c>
      <c r="F20" s="6"/>
      <c r="G20" s="7" t="n">
        <f aca="false">IF(F20="",E20,F20)*D20</f>
        <v>414</v>
      </c>
      <c r="H20" s="25"/>
      <c r="I20" s="4"/>
      <c r="J20" s="26"/>
    </row>
    <row r="21" customFormat="false" ht="15" hidden="false" customHeight="false" outlineLevel="0" collapsed="false">
      <c r="A21" s="15" t="s">
        <v>72</v>
      </c>
      <c r="B21" s="21" t="n">
        <v>6</v>
      </c>
      <c r="C21" s="22" t="str">
        <f aca="false">Riepilogo!$A$6</f>
        <v>Elisa</v>
      </c>
      <c r="D21" s="23" t="n">
        <f aca="false">Riepilogo!$C$6</f>
        <v>12</v>
      </c>
      <c r="E21" s="24" t="n">
        <f aca="false">Riepilogo!$D$6*SUMPRODUCT(--(WEEKDAY(DATE(Parametri!$B$5,B21,1)+ROW($A$1:$A$31)-1,2)=1),--(ROW($A$1:$A$31)&lt;=DAY(DATE(Parametri!$B$5,B21+1,0))))</f>
        <v>24</v>
      </c>
      <c r="F21" s="6"/>
      <c r="G21" s="7" t="n">
        <f aca="false">IF(F21="",E21,F21)*D21</f>
        <v>288</v>
      </c>
      <c r="H21" s="25"/>
      <c r="I21" s="4"/>
      <c r="J21" s="26"/>
    </row>
    <row r="22" customFormat="false" ht="15" hidden="false" customHeight="false" outlineLevel="0" collapsed="false">
      <c r="A22" s="15" t="s">
        <v>72</v>
      </c>
      <c r="B22" s="21" t="n">
        <v>6</v>
      </c>
      <c r="C22" s="22" t="str">
        <f aca="false">Riepilogo!$A$7</f>
        <v>Corina</v>
      </c>
      <c r="D22" s="23" t="n">
        <f aca="false">Riepilogo!$C$7</f>
        <v>10</v>
      </c>
      <c r="E22" s="24" t="n">
        <f aca="false">Riepilogo!$D$7*SUMPRODUCT(--(WEEKDAY(DATE(Parametri!$B$5,B22,1)+ROW($A$1:$A$31)-1,2)=1),--(ROW($A$1:$A$31)&lt;=DAY(DATE(Parametri!$B$5,B22+1,0))))</f>
        <v>16</v>
      </c>
      <c r="F22" s="6"/>
      <c r="G22" s="7" t="n">
        <f aca="false">IF(F22="",E22,F22)*D22</f>
        <v>160</v>
      </c>
      <c r="H22" s="25"/>
      <c r="I22" s="4"/>
      <c r="J22" s="26"/>
    </row>
    <row r="23" customFormat="false" ht="15" hidden="false" customHeight="false" outlineLevel="0" collapsed="false">
      <c r="A23" s="15" t="s">
        <v>73</v>
      </c>
      <c r="B23" s="21" t="n">
        <v>7</v>
      </c>
      <c r="C23" s="22" t="str">
        <f aca="false">Riepilogo!$A$5</f>
        <v>Oshina</v>
      </c>
      <c r="D23" s="23" t="n">
        <f aca="false">Riepilogo!$C$5</f>
        <v>11.5</v>
      </c>
      <c r="E23" s="24" t="n">
        <f aca="false">Riepilogo!$D$5*SUMPRODUCT(--(WEEKDAY(DATE(Parametri!$B$5,B23,1)+ROW($A$1:$A$31)-1,2)=1),--(ROW($A$1:$A$31)&lt;=DAY(DATE(Parametri!$B$5,B23+1,0))))</f>
        <v>36</v>
      </c>
      <c r="F23" s="6"/>
      <c r="G23" s="7" t="n">
        <f aca="false">IF(F23="",E23,F23)*D23</f>
        <v>414</v>
      </c>
      <c r="H23" s="25"/>
      <c r="I23" s="4"/>
      <c r="J23" s="26"/>
    </row>
    <row r="24" customFormat="false" ht="15" hidden="false" customHeight="false" outlineLevel="0" collapsed="false">
      <c r="A24" s="15" t="s">
        <v>73</v>
      </c>
      <c r="B24" s="21" t="n">
        <v>7</v>
      </c>
      <c r="C24" s="22" t="str">
        <f aca="false">Riepilogo!$A$6</f>
        <v>Elisa</v>
      </c>
      <c r="D24" s="23" t="n">
        <f aca="false">Riepilogo!$C$6</f>
        <v>12</v>
      </c>
      <c r="E24" s="24" t="n">
        <f aca="false">Riepilogo!$D$6*SUMPRODUCT(--(WEEKDAY(DATE(Parametri!$B$5,B24,1)+ROW($A$1:$A$31)-1,2)=1),--(ROW($A$1:$A$31)&lt;=DAY(DATE(Parametri!$B$5,B24+1,0))))</f>
        <v>24</v>
      </c>
      <c r="F24" s="6"/>
      <c r="G24" s="7" t="n">
        <f aca="false">IF(F24="",E24,F24)*D24</f>
        <v>288</v>
      </c>
      <c r="H24" s="25"/>
      <c r="I24" s="4"/>
      <c r="J24" s="26"/>
    </row>
    <row r="25" customFormat="false" ht="15" hidden="false" customHeight="false" outlineLevel="0" collapsed="false">
      <c r="A25" s="15" t="s">
        <v>73</v>
      </c>
      <c r="B25" s="21" t="n">
        <v>7</v>
      </c>
      <c r="C25" s="22" t="str">
        <f aca="false">Riepilogo!$A$7</f>
        <v>Corina</v>
      </c>
      <c r="D25" s="23" t="n">
        <f aca="false">Riepilogo!$C$7</f>
        <v>10</v>
      </c>
      <c r="E25" s="24" t="n">
        <f aca="false">Riepilogo!$D$7*SUMPRODUCT(--(WEEKDAY(DATE(Parametri!$B$5,B25,1)+ROW($A$1:$A$31)-1,2)=1),--(ROW($A$1:$A$31)&lt;=DAY(DATE(Parametri!$B$5,B25+1,0))))</f>
        <v>16</v>
      </c>
      <c r="F25" s="6"/>
      <c r="G25" s="7" t="n">
        <f aca="false">IF(F25="",E25,F25)*D25</f>
        <v>160</v>
      </c>
      <c r="H25" s="25"/>
      <c r="I25" s="4"/>
      <c r="J25" s="26"/>
    </row>
    <row r="26" customFormat="false" ht="15" hidden="false" customHeight="false" outlineLevel="0" collapsed="false">
      <c r="A26" s="15" t="s">
        <v>74</v>
      </c>
      <c r="B26" s="21" t="n">
        <v>8</v>
      </c>
      <c r="C26" s="22" t="str">
        <f aca="false">Riepilogo!$A$5</f>
        <v>Oshina</v>
      </c>
      <c r="D26" s="23" t="n">
        <f aca="false">Riepilogo!$C$5</f>
        <v>11.5</v>
      </c>
      <c r="E26" s="24" t="n">
        <f aca="false">Riepilogo!$D$5*SUMPRODUCT(--(WEEKDAY(DATE(Parametri!$B$5,B26,1)+ROW($A$1:$A$31)-1,2)=1),--(ROW($A$1:$A$31)&lt;=DAY(DATE(Parametri!$B$5,B26+1,0))))</f>
        <v>45</v>
      </c>
      <c r="F26" s="6"/>
      <c r="G26" s="7" t="n">
        <f aca="false">IF(F26="",E26,F26)*D26</f>
        <v>517.5</v>
      </c>
      <c r="H26" s="25"/>
      <c r="I26" s="4"/>
      <c r="J26" s="26"/>
    </row>
    <row r="27" customFormat="false" ht="15" hidden="false" customHeight="false" outlineLevel="0" collapsed="false">
      <c r="A27" s="15" t="s">
        <v>74</v>
      </c>
      <c r="B27" s="21" t="n">
        <v>8</v>
      </c>
      <c r="C27" s="22" t="str">
        <f aca="false">Riepilogo!$A$6</f>
        <v>Elisa</v>
      </c>
      <c r="D27" s="23" t="n">
        <f aca="false">Riepilogo!$C$6</f>
        <v>12</v>
      </c>
      <c r="E27" s="24" t="n">
        <f aca="false">Riepilogo!$D$6*SUMPRODUCT(--(WEEKDAY(DATE(Parametri!$B$5,B27,1)+ROW($A$1:$A$31)-1,2)=1),--(ROW($A$1:$A$31)&lt;=DAY(DATE(Parametri!$B$5,B27+1,0))))</f>
        <v>30</v>
      </c>
      <c r="F27" s="6"/>
      <c r="G27" s="7" t="n">
        <f aca="false">IF(F27="",E27,F27)*D27</f>
        <v>360</v>
      </c>
      <c r="H27" s="25"/>
      <c r="I27" s="4"/>
      <c r="J27" s="26"/>
    </row>
    <row r="28" customFormat="false" ht="15" hidden="false" customHeight="false" outlineLevel="0" collapsed="false">
      <c r="A28" s="15" t="s">
        <v>74</v>
      </c>
      <c r="B28" s="21" t="n">
        <v>8</v>
      </c>
      <c r="C28" s="22" t="str">
        <f aca="false">Riepilogo!$A$7</f>
        <v>Corina</v>
      </c>
      <c r="D28" s="23" t="n">
        <f aca="false">Riepilogo!$C$7</f>
        <v>10</v>
      </c>
      <c r="E28" s="24" t="n">
        <f aca="false">Riepilogo!$D$7*SUMPRODUCT(--(WEEKDAY(DATE(Parametri!$B$5,B28,1)+ROW($A$1:$A$31)-1,2)=1),--(ROW($A$1:$A$31)&lt;=DAY(DATE(Parametri!$B$5,B28+1,0))))</f>
        <v>20</v>
      </c>
      <c r="F28" s="6"/>
      <c r="G28" s="7" t="n">
        <f aca="false">IF(F28="",E28,F28)*D28</f>
        <v>200</v>
      </c>
      <c r="H28" s="25"/>
      <c r="I28" s="4"/>
      <c r="J28" s="26"/>
    </row>
    <row r="29" customFormat="false" ht="15" hidden="false" customHeight="false" outlineLevel="0" collapsed="false">
      <c r="A29" s="15" t="s">
        <v>75</v>
      </c>
      <c r="B29" s="21" t="n">
        <v>9</v>
      </c>
      <c r="C29" s="22" t="str">
        <f aca="false">Riepilogo!$A$5</f>
        <v>Oshina</v>
      </c>
      <c r="D29" s="23" t="n">
        <f aca="false">Riepilogo!$C$5</f>
        <v>11.5</v>
      </c>
      <c r="E29" s="24" t="n">
        <f aca="false">Riepilogo!$D$5*SUMPRODUCT(--(WEEKDAY(DATE(Parametri!$B$5,B29,1)+ROW($A$1:$A$31)-1,2)=1),--(ROW($A$1:$A$31)&lt;=DAY(DATE(Parametri!$B$5,B29+1,0))))</f>
        <v>36</v>
      </c>
      <c r="F29" s="6"/>
      <c r="G29" s="7" t="n">
        <f aca="false">IF(F29="",E29,F29)*D29</f>
        <v>414</v>
      </c>
      <c r="H29" s="25"/>
      <c r="I29" s="4"/>
      <c r="J29" s="26"/>
    </row>
    <row r="30" customFormat="false" ht="15" hidden="false" customHeight="false" outlineLevel="0" collapsed="false">
      <c r="A30" s="15" t="s">
        <v>75</v>
      </c>
      <c r="B30" s="21" t="n">
        <v>9</v>
      </c>
      <c r="C30" s="22" t="str">
        <f aca="false">Riepilogo!$A$6</f>
        <v>Elisa</v>
      </c>
      <c r="D30" s="23" t="n">
        <f aca="false">Riepilogo!$C$6</f>
        <v>12</v>
      </c>
      <c r="E30" s="24" t="n">
        <f aca="false">Riepilogo!$D$6*SUMPRODUCT(--(WEEKDAY(DATE(Parametri!$B$5,B30,1)+ROW($A$1:$A$31)-1,2)=1),--(ROW($A$1:$A$31)&lt;=DAY(DATE(Parametri!$B$5,B30+1,0))))</f>
        <v>24</v>
      </c>
      <c r="F30" s="6"/>
      <c r="G30" s="7" t="n">
        <f aca="false">IF(F30="",E30,F30)*D30</f>
        <v>288</v>
      </c>
      <c r="H30" s="25"/>
      <c r="I30" s="4"/>
      <c r="J30" s="26"/>
    </row>
    <row r="31" customFormat="false" ht="15" hidden="false" customHeight="false" outlineLevel="0" collapsed="false">
      <c r="A31" s="15" t="s">
        <v>75</v>
      </c>
      <c r="B31" s="21" t="n">
        <v>9</v>
      </c>
      <c r="C31" s="22" t="str">
        <f aca="false">Riepilogo!$A$7</f>
        <v>Corina</v>
      </c>
      <c r="D31" s="23" t="n">
        <f aca="false">Riepilogo!$C$7</f>
        <v>10</v>
      </c>
      <c r="E31" s="24" t="n">
        <f aca="false">Riepilogo!$D$7*SUMPRODUCT(--(WEEKDAY(DATE(Parametri!$B$5,B31,1)+ROW($A$1:$A$31)-1,2)=1),--(ROW($A$1:$A$31)&lt;=DAY(DATE(Parametri!$B$5,B31+1,0))))</f>
        <v>16</v>
      </c>
      <c r="F31" s="6"/>
      <c r="G31" s="7" t="n">
        <f aca="false">IF(F31="",E31,F31)*D31</f>
        <v>160</v>
      </c>
      <c r="H31" s="25"/>
      <c r="I31" s="4"/>
      <c r="J31" s="26"/>
    </row>
    <row r="32" customFormat="false" ht="15" hidden="false" customHeight="false" outlineLevel="0" collapsed="false">
      <c r="A32" s="15" t="s">
        <v>76</v>
      </c>
      <c r="B32" s="21" t="n">
        <v>10</v>
      </c>
      <c r="C32" s="22" t="str">
        <f aca="false">Riepilogo!$A$5</f>
        <v>Oshina</v>
      </c>
      <c r="D32" s="23" t="n">
        <f aca="false">Riepilogo!$C$5</f>
        <v>11.5</v>
      </c>
      <c r="E32" s="24" t="n">
        <f aca="false">Riepilogo!$D$5*SUMPRODUCT(--(WEEKDAY(DATE(Parametri!$B$5,B32,1)+ROW($A$1:$A$31)-1,2)=1),--(ROW($A$1:$A$31)&lt;=DAY(DATE(Parametri!$B$5,B32+1,0))))</f>
        <v>36</v>
      </c>
      <c r="F32" s="6"/>
      <c r="G32" s="7" t="n">
        <f aca="false">IF(F32="",E32,F32)*D32</f>
        <v>414</v>
      </c>
      <c r="H32" s="25"/>
      <c r="I32" s="4"/>
      <c r="J32" s="26"/>
    </row>
    <row r="33" customFormat="false" ht="15" hidden="false" customHeight="false" outlineLevel="0" collapsed="false">
      <c r="A33" s="15" t="s">
        <v>76</v>
      </c>
      <c r="B33" s="21" t="n">
        <v>10</v>
      </c>
      <c r="C33" s="22" t="str">
        <f aca="false">Riepilogo!$A$6</f>
        <v>Elisa</v>
      </c>
      <c r="D33" s="23" t="n">
        <f aca="false">Riepilogo!$C$6</f>
        <v>12</v>
      </c>
      <c r="E33" s="24" t="n">
        <f aca="false">Riepilogo!$D$6*SUMPRODUCT(--(WEEKDAY(DATE(Parametri!$B$5,B33,1)+ROW($A$1:$A$31)-1,2)=1),--(ROW($A$1:$A$31)&lt;=DAY(DATE(Parametri!$B$5,B33+1,0))))</f>
        <v>24</v>
      </c>
      <c r="F33" s="6"/>
      <c r="G33" s="7" t="n">
        <f aca="false">IF(F33="",E33,F33)*D33</f>
        <v>288</v>
      </c>
      <c r="H33" s="25"/>
      <c r="I33" s="4"/>
      <c r="J33" s="26"/>
    </row>
    <row r="34" customFormat="false" ht="15" hidden="false" customHeight="false" outlineLevel="0" collapsed="false">
      <c r="A34" s="15" t="s">
        <v>76</v>
      </c>
      <c r="B34" s="21" t="n">
        <v>10</v>
      </c>
      <c r="C34" s="22" t="str">
        <f aca="false">Riepilogo!$A$7</f>
        <v>Corina</v>
      </c>
      <c r="D34" s="23" t="n">
        <f aca="false">Riepilogo!$C$7</f>
        <v>10</v>
      </c>
      <c r="E34" s="24" t="n">
        <f aca="false">Riepilogo!$D$7*SUMPRODUCT(--(WEEKDAY(DATE(Parametri!$B$5,B34,1)+ROW($A$1:$A$31)-1,2)=1),--(ROW($A$1:$A$31)&lt;=DAY(DATE(Parametri!$B$5,B34+1,0))))</f>
        <v>16</v>
      </c>
      <c r="F34" s="6"/>
      <c r="G34" s="7" t="n">
        <f aca="false">IF(F34="",E34,F34)*D34</f>
        <v>160</v>
      </c>
      <c r="H34" s="25"/>
      <c r="I34" s="4"/>
      <c r="J34" s="26"/>
    </row>
    <row r="35" customFormat="false" ht="15" hidden="false" customHeight="false" outlineLevel="0" collapsed="false">
      <c r="A35" s="15" t="s">
        <v>77</v>
      </c>
      <c r="B35" s="21" t="n">
        <v>11</v>
      </c>
      <c r="C35" s="22" t="str">
        <f aca="false">Riepilogo!$A$5</f>
        <v>Oshina</v>
      </c>
      <c r="D35" s="23" t="n">
        <f aca="false">Riepilogo!$C$5</f>
        <v>11.5</v>
      </c>
      <c r="E35" s="24" t="n">
        <f aca="false">Riepilogo!$D$5*SUMPRODUCT(--(WEEKDAY(DATE(Parametri!$B$5,B35,1)+ROW($A$1:$A$31)-1,2)=1),--(ROW($A$1:$A$31)&lt;=DAY(DATE(Parametri!$B$5,B35+1,0))))</f>
        <v>45</v>
      </c>
      <c r="F35" s="6"/>
      <c r="G35" s="7" t="n">
        <f aca="false">IF(F35="",E35,F35)*D35</f>
        <v>517.5</v>
      </c>
      <c r="H35" s="25"/>
      <c r="I35" s="4"/>
      <c r="J35" s="26"/>
    </row>
    <row r="36" customFormat="false" ht="15" hidden="false" customHeight="false" outlineLevel="0" collapsed="false">
      <c r="A36" s="15" t="s">
        <v>77</v>
      </c>
      <c r="B36" s="21" t="n">
        <v>11</v>
      </c>
      <c r="C36" s="22" t="str">
        <f aca="false">Riepilogo!$A$6</f>
        <v>Elisa</v>
      </c>
      <c r="D36" s="23" t="n">
        <f aca="false">Riepilogo!$C$6</f>
        <v>12</v>
      </c>
      <c r="E36" s="24" t="n">
        <f aca="false">Riepilogo!$D$6*SUMPRODUCT(--(WEEKDAY(DATE(Parametri!$B$5,B36,1)+ROW($A$1:$A$31)-1,2)=1),--(ROW($A$1:$A$31)&lt;=DAY(DATE(Parametri!$B$5,B36+1,0))))</f>
        <v>30</v>
      </c>
      <c r="F36" s="6"/>
      <c r="G36" s="7" t="n">
        <f aca="false">IF(F36="",E36,F36)*D36</f>
        <v>360</v>
      </c>
      <c r="H36" s="25"/>
      <c r="I36" s="4"/>
      <c r="J36" s="26"/>
    </row>
    <row r="37" customFormat="false" ht="15" hidden="false" customHeight="false" outlineLevel="0" collapsed="false">
      <c r="A37" s="15" t="s">
        <v>77</v>
      </c>
      <c r="B37" s="21" t="n">
        <v>11</v>
      </c>
      <c r="C37" s="22" t="str">
        <f aca="false">Riepilogo!$A$7</f>
        <v>Corina</v>
      </c>
      <c r="D37" s="23" t="n">
        <f aca="false">Riepilogo!$C$7</f>
        <v>10</v>
      </c>
      <c r="E37" s="24" t="n">
        <f aca="false">Riepilogo!$D$7*SUMPRODUCT(--(WEEKDAY(DATE(Parametri!$B$5,B37,1)+ROW($A$1:$A$31)-1,2)=1),--(ROW($A$1:$A$31)&lt;=DAY(DATE(Parametri!$B$5,B37+1,0))))</f>
        <v>20</v>
      </c>
      <c r="F37" s="6"/>
      <c r="G37" s="7" t="n">
        <f aca="false">IF(F37="",E37,F37)*D37</f>
        <v>200</v>
      </c>
      <c r="H37" s="25"/>
      <c r="I37" s="4"/>
      <c r="J37" s="26"/>
    </row>
    <row r="38" customFormat="false" ht="15" hidden="false" customHeight="false" outlineLevel="0" collapsed="false">
      <c r="A38" s="15" t="s">
        <v>78</v>
      </c>
      <c r="B38" s="21" t="n">
        <v>12</v>
      </c>
      <c r="C38" s="22" t="str">
        <f aca="false">Riepilogo!$A$5</f>
        <v>Oshina</v>
      </c>
      <c r="D38" s="23" t="n">
        <f aca="false">Riepilogo!$C$5</f>
        <v>11.5</v>
      </c>
      <c r="E38" s="24" t="n">
        <f aca="false">Riepilogo!$D$5*SUMPRODUCT(--(WEEKDAY(DATE(Parametri!$B$5,B38,1)+ROW($A$1:$A$31)-1,2)=1),--(ROW($A$1:$A$31)&lt;=DAY(DATE(Parametri!$B$5,B38+1,0))))</f>
        <v>36</v>
      </c>
      <c r="F38" s="6"/>
      <c r="G38" s="7" t="n">
        <f aca="false">IF(F38="",E38,F38)*D38</f>
        <v>414</v>
      </c>
      <c r="H38" s="25"/>
      <c r="I38" s="4"/>
      <c r="J38" s="26"/>
    </row>
    <row r="39" customFormat="false" ht="15" hidden="false" customHeight="false" outlineLevel="0" collapsed="false">
      <c r="A39" s="15" t="s">
        <v>78</v>
      </c>
      <c r="B39" s="21" t="n">
        <v>12</v>
      </c>
      <c r="C39" s="22" t="str">
        <f aca="false">Riepilogo!$A$6</f>
        <v>Elisa</v>
      </c>
      <c r="D39" s="23" t="n">
        <f aca="false">Riepilogo!$C$6</f>
        <v>12</v>
      </c>
      <c r="E39" s="24" t="n">
        <f aca="false">Riepilogo!$D$6*SUMPRODUCT(--(WEEKDAY(DATE(Parametri!$B$5,B39,1)+ROW($A$1:$A$31)-1,2)=1),--(ROW($A$1:$A$31)&lt;=DAY(DATE(Parametri!$B$5,B39+1,0))))</f>
        <v>24</v>
      </c>
      <c r="F39" s="6"/>
      <c r="G39" s="7" t="n">
        <f aca="false">IF(F39="",E39,F39)*D39</f>
        <v>288</v>
      </c>
      <c r="H39" s="25"/>
      <c r="I39" s="4"/>
      <c r="J39" s="26"/>
    </row>
    <row r="40" customFormat="false" ht="15" hidden="false" customHeight="false" outlineLevel="0" collapsed="false">
      <c r="A40" s="15" t="s">
        <v>78</v>
      </c>
      <c r="B40" s="21" t="n">
        <v>12</v>
      </c>
      <c r="C40" s="22" t="str">
        <f aca="false">Riepilogo!$A$7</f>
        <v>Corina</v>
      </c>
      <c r="D40" s="23" t="n">
        <f aca="false">Riepilogo!$C$7</f>
        <v>10</v>
      </c>
      <c r="E40" s="24" t="n">
        <f aca="false">Riepilogo!$D$7*SUMPRODUCT(--(WEEKDAY(DATE(Parametri!$B$5,B40,1)+ROW($A$1:$A$31)-1,2)=1),--(ROW($A$1:$A$31)&lt;=DAY(DATE(Parametri!$B$5,B40+1,0))))</f>
        <v>16</v>
      </c>
      <c r="F40" s="6"/>
      <c r="G40" s="7" t="n">
        <f aca="false">IF(F40="",E40,F40)*D40</f>
        <v>160</v>
      </c>
      <c r="H40" s="25"/>
      <c r="I40" s="4"/>
      <c r="J40" s="26"/>
    </row>
    <row r="41" customFormat="false" ht="15" hidden="false" customHeight="false" outlineLevel="0" collapsed="false">
      <c r="A41" s="10" t="s">
        <v>79</v>
      </c>
      <c r="B41" s="10"/>
      <c r="C41" s="10"/>
      <c r="D41" s="10"/>
      <c r="E41" s="12" t="n">
        <f aca="false">SUM(E5:E40)</f>
        <v>988</v>
      </c>
      <c r="F41" s="12" t="n">
        <f aca="false">SUM(F5:F40)</f>
        <v>0</v>
      </c>
      <c r="G41" s="11" t="n">
        <f aca="false">SUM(G5:G40)</f>
        <v>11206</v>
      </c>
      <c r="H41" s="10"/>
      <c r="I41" s="10"/>
      <c r="J41" s="10"/>
    </row>
    <row r="44" customFormat="false" ht="15" hidden="false" customHeight="false" outlineLevel="0" collapsed="false">
      <c r="A44" s="14" t="s">
        <v>80</v>
      </c>
    </row>
    <row r="45" customFormat="false" ht="30" hidden="false" customHeight="true" outlineLevel="0" collapsed="false">
      <c r="A45" s="3" t="s">
        <v>60</v>
      </c>
      <c r="B45" s="3" t="str">
        <f aca="false">Riepilogo!A5</f>
        <v>Oshina</v>
      </c>
      <c r="C45" s="3" t="str">
        <f aca="false">Riepilogo!A6</f>
        <v>Elisa</v>
      </c>
      <c r="D45" s="3" t="str">
        <f aca="false">Riepilogo!A7</f>
        <v>Corina</v>
      </c>
      <c r="E45" s="3" t="s">
        <v>81</v>
      </c>
      <c r="F45" s="3" t="s">
        <v>82</v>
      </c>
    </row>
    <row r="46" customFormat="false" ht="15" hidden="false" customHeight="false" outlineLevel="0" collapsed="false">
      <c r="A46" s="15" t="s">
        <v>67</v>
      </c>
      <c r="B46" s="7" t="n">
        <f aca="false">SUMIFS($G$5:$G$40,$B$5:$B$40,1,$C$5:$C$40,B$45)</f>
        <v>414</v>
      </c>
      <c r="C46" s="7" t="n">
        <f aca="false">SUMIFS($G$5:$G$40,$B$5:$B$40,1,$C$5:$C$40,C$45)</f>
        <v>288</v>
      </c>
      <c r="D46" s="7" t="n">
        <f aca="false">SUMIFS($G$5:$G$40,$B$5:$B$40,1,$C$5:$C$40,D$45)</f>
        <v>160</v>
      </c>
      <c r="E46" s="8" t="n">
        <f aca="false">SUM(B46:D46)</f>
        <v>862</v>
      </c>
      <c r="F46" s="21" t="n">
        <f aca="false">COUNTIFS($B$5:$B$40,1,$I$5:$I$40,"&lt;&gt;SI")</f>
        <v>3</v>
      </c>
    </row>
    <row r="47" customFormat="false" ht="15" hidden="false" customHeight="false" outlineLevel="0" collapsed="false">
      <c r="A47" s="15" t="s">
        <v>68</v>
      </c>
      <c r="B47" s="7" t="n">
        <f aca="false">SUMIFS($G$5:$G$40,$B$5:$B$40,2,$C$5:$C$40,B$45)</f>
        <v>414</v>
      </c>
      <c r="C47" s="7" t="n">
        <f aca="false">SUMIFS($G$5:$G$40,$B$5:$B$40,2,$C$5:$C$40,C$45)</f>
        <v>288</v>
      </c>
      <c r="D47" s="7" t="n">
        <f aca="false">SUMIFS($G$5:$G$40,$B$5:$B$40,2,$C$5:$C$40,D$45)</f>
        <v>160</v>
      </c>
      <c r="E47" s="8" t="n">
        <f aca="false">SUM(B47:D47)</f>
        <v>862</v>
      </c>
      <c r="F47" s="21" t="n">
        <f aca="false">COUNTIFS($B$5:$B$40,2,$I$5:$I$40,"&lt;&gt;SI")</f>
        <v>3</v>
      </c>
    </row>
    <row r="48" customFormat="false" ht="15" hidden="false" customHeight="false" outlineLevel="0" collapsed="false">
      <c r="A48" s="15" t="s">
        <v>69</v>
      </c>
      <c r="B48" s="7" t="n">
        <f aca="false">SUMIFS($G$5:$G$40,$B$5:$B$40,3,$C$5:$C$40,B$45)</f>
        <v>517.5</v>
      </c>
      <c r="C48" s="7" t="n">
        <f aca="false">SUMIFS($G$5:$G$40,$B$5:$B$40,3,$C$5:$C$40,C$45)</f>
        <v>360</v>
      </c>
      <c r="D48" s="7" t="n">
        <f aca="false">SUMIFS($G$5:$G$40,$B$5:$B$40,3,$C$5:$C$40,D$45)</f>
        <v>200</v>
      </c>
      <c r="E48" s="8" t="n">
        <f aca="false">SUM(B48:D48)</f>
        <v>1077.5</v>
      </c>
      <c r="F48" s="21" t="n">
        <f aca="false">COUNTIFS($B$5:$B$40,3,$I$5:$I$40,"&lt;&gt;SI")</f>
        <v>3</v>
      </c>
    </row>
    <row r="49" customFormat="false" ht="15" hidden="false" customHeight="false" outlineLevel="0" collapsed="false">
      <c r="A49" s="15" t="s">
        <v>70</v>
      </c>
      <c r="B49" s="7" t="n">
        <f aca="false">SUMIFS($G$5:$G$40,$B$5:$B$40,4,$C$5:$C$40,B$45)</f>
        <v>414</v>
      </c>
      <c r="C49" s="7" t="n">
        <f aca="false">SUMIFS($G$5:$G$40,$B$5:$B$40,4,$C$5:$C$40,C$45)</f>
        <v>288</v>
      </c>
      <c r="D49" s="7" t="n">
        <f aca="false">SUMIFS($G$5:$G$40,$B$5:$B$40,4,$C$5:$C$40,D$45)</f>
        <v>160</v>
      </c>
      <c r="E49" s="8" t="n">
        <f aca="false">SUM(B49:D49)</f>
        <v>862</v>
      </c>
      <c r="F49" s="21" t="n">
        <f aca="false">COUNTIFS($B$5:$B$40,4,$I$5:$I$40,"&lt;&gt;SI")</f>
        <v>3</v>
      </c>
    </row>
    <row r="50" customFormat="false" ht="15" hidden="false" customHeight="false" outlineLevel="0" collapsed="false">
      <c r="A50" s="15" t="s">
        <v>71</v>
      </c>
      <c r="B50" s="7" t="n">
        <f aca="false">SUMIFS($G$5:$G$40,$B$5:$B$40,5,$C$5:$C$40,B$45)</f>
        <v>517.5</v>
      </c>
      <c r="C50" s="7" t="n">
        <f aca="false">SUMIFS($G$5:$G$40,$B$5:$B$40,5,$C$5:$C$40,C$45)</f>
        <v>360</v>
      </c>
      <c r="D50" s="7" t="n">
        <f aca="false">SUMIFS($G$5:$G$40,$B$5:$B$40,5,$C$5:$C$40,D$45)</f>
        <v>200</v>
      </c>
      <c r="E50" s="8" t="n">
        <f aca="false">SUM(B50:D50)</f>
        <v>1077.5</v>
      </c>
      <c r="F50" s="21" t="n">
        <f aca="false">COUNTIFS($B$5:$B$40,5,$I$5:$I$40,"&lt;&gt;SI")</f>
        <v>3</v>
      </c>
    </row>
    <row r="51" customFormat="false" ht="15" hidden="false" customHeight="false" outlineLevel="0" collapsed="false">
      <c r="A51" s="15" t="s">
        <v>72</v>
      </c>
      <c r="B51" s="7" t="n">
        <f aca="false">SUMIFS($G$5:$G$40,$B$5:$B$40,6,$C$5:$C$40,B$45)</f>
        <v>414</v>
      </c>
      <c r="C51" s="7" t="n">
        <f aca="false">SUMIFS($G$5:$G$40,$B$5:$B$40,6,$C$5:$C$40,C$45)</f>
        <v>288</v>
      </c>
      <c r="D51" s="7" t="n">
        <f aca="false">SUMIFS($G$5:$G$40,$B$5:$B$40,6,$C$5:$C$40,D$45)</f>
        <v>160</v>
      </c>
      <c r="E51" s="8" t="n">
        <f aca="false">SUM(B51:D51)</f>
        <v>862</v>
      </c>
      <c r="F51" s="21" t="n">
        <f aca="false">COUNTIFS($B$5:$B$40,6,$I$5:$I$40,"&lt;&gt;SI")</f>
        <v>3</v>
      </c>
    </row>
    <row r="52" customFormat="false" ht="15" hidden="false" customHeight="false" outlineLevel="0" collapsed="false">
      <c r="A52" s="15" t="s">
        <v>73</v>
      </c>
      <c r="B52" s="7" t="n">
        <f aca="false">SUMIFS($G$5:$G$40,$B$5:$B$40,7,$C$5:$C$40,B$45)</f>
        <v>414</v>
      </c>
      <c r="C52" s="7" t="n">
        <f aca="false">SUMIFS($G$5:$G$40,$B$5:$B$40,7,$C$5:$C$40,C$45)</f>
        <v>288</v>
      </c>
      <c r="D52" s="7" t="n">
        <f aca="false">SUMIFS($G$5:$G$40,$B$5:$B$40,7,$C$5:$C$40,D$45)</f>
        <v>160</v>
      </c>
      <c r="E52" s="8" t="n">
        <f aca="false">SUM(B52:D52)</f>
        <v>862</v>
      </c>
      <c r="F52" s="21" t="n">
        <f aca="false">COUNTIFS($B$5:$B$40,7,$I$5:$I$40,"&lt;&gt;SI")</f>
        <v>3</v>
      </c>
    </row>
    <row r="53" customFormat="false" ht="15" hidden="false" customHeight="false" outlineLevel="0" collapsed="false">
      <c r="A53" s="15" t="s">
        <v>74</v>
      </c>
      <c r="B53" s="7" t="n">
        <f aca="false">SUMIFS($G$5:$G$40,$B$5:$B$40,8,$C$5:$C$40,B$45)</f>
        <v>517.5</v>
      </c>
      <c r="C53" s="7" t="n">
        <f aca="false">SUMIFS($G$5:$G$40,$B$5:$B$40,8,$C$5:$C$40,C$45)</f>
        <v>360</v>
      </c>
      <c r="D53" s="7" t="n">
        <f aca="false">SUMIFS($G$5:$G$40,$B$5:$B$40,8,$C$5:$C$40,D$45)</f>
        <v>200</v>
      </c>
      <c r="E53" s="8" t="n">
        <f aca="false">SUM(B53:D53)</f>
        <v>1077.5</v>
      </c>
      <c r="F53" s="21" t="n">
        <f aca="false">COUNTIFS($B$5:$B$40,8,$I$5:$I$40,"&lt;&gt;SI")</f>
        <v>3</v>
      </c>
    </row>
    <row r="54" customFormat="false" ht="15" hidden="false" customHeight="false" outlineLevel="0" collapsed="false">
      <c r="A54" s="15" t="s">
        <v>75</v>
      </c>
      <c r="B54" s="7" t="n">
        <f aca="false">SUMIFS($G$5:$G$40,$B$5:$B$40,9,$C$5:$C$40,B$45)</f>
        <v>414</v>
      </c>
      <c r="C54" s="7" t="n">
        <f aca="false">SUMIFS($G$5:$G$40,$B$5:$B$40,9,$C$5:$C$40,C$45)</f>
        <v>288</v>
      </c>
      <c r="D54" s="7" t="n">
        <f aca="false">SUMIFS($G$5:$G$40,$B$5:$B$40,9,$C$5:$C$40,D$45)</f>
        <v>160</v>
      </c>
      <c r="E54" s="8" t="n">
        <f aca="false">SUM(B54:D54)</f>
        <v>862</v>
      </c>
      <c r="F54" s="21" t="n">
        <f aca="false">COUNTIFS($B$5:$B$40,9,$I$5:$I$40,"&lt;&gt;SI")</f>
        <v>3</v>
      </c>
    </row>
    <row r="55" customFormat="false" ht="15" hidden="false" customHeight="false" outlineLevel="0" collapsed="false">
      <c r="A55" s="15" t="s">
        <v>76</v>
      </c>
      <c r="B55" s="7" t="n">
        <f aca="false">SUMIFS($G$5:$G$40,$B$5:$B$40,10,$C$5:$C$40,B$45)</f>
        <v>414</v>
      </c>
      <c r="C55" s="7" t="n">
        <f aca="false">SUMIFS($G$5:$G$40,$B$5:$B$40,10,$C$5:$C$40,C$45)</f>
        <v>288</v>
      </c>
      <c r="D55" s="7" t="n">
        <f aca="false">SUMIFS($G$5:$G$40,$B$5:$B$40,10,$C$5:$C$40,D$45)</f>
        <v>160</v>
      </c>
      <c r="E55" s="8" t="n">
        <f aca="false">SUM(B55:D55)</f>
        <v>862</v>
      </c>
      <c r="F55" s="21" t="n">
        <f aca="false">COUNTIFS($B$5:$B$40,10,$I$5:$I$40,"&lt;&gt;SI")</f>
        <v>3</v>
      </c>
    </row>
    <row r="56" customFormat="false" ht="15" hidden="false" customHeight="false" outlineLevel="0" collapsed="false">
      <c r="A56" s="15" t="s">
        <v>77</v>
      </c>
      <c r="B56" s="7" t="n">
        <f aca="false">SUMIFS($G$5:$G$40,$B$5:$B$40,11,$C$5:$C$40,B$45)</f>
        <v>517.5</v>
      </c>
      <c r="C56" s="7" t="n">
        <f aca="false">SUMIFS($G$5:$G$40,$B$5:$B$40,11,$C$5:$C$40,C$45)</f>
        <v>360</v>
      </c>
      <c r="D56" s="7" t="n">
        <f aca="false">SUMIFS($G$5:$G$40,$B$5:$B$40,11,$C$5:$C$40,D$45)</f>
        <v>200</v>
      </c>
      <c r="E56" s="8" t="n">
        <f aca="false">SUM(B56:D56)</f>
        <v>1077.5</v>
      </c>
      <c r="F56" s="21" t="n">
        <f aca="false">COUNTIFS($B$5:$B$40,11,$I$5:$I$40,"&lt;&gt;SI")</f>
        <v>3</v>
      </c>
    </row>
    <row r="57" customFormat="false" ht="15" hidden="false" customHeight="false" outlineLevel="0" collapsed="false">
      <c r="A57" s="15" t="s">
        <v>78</v>
      </c>
      <c r="B57" s="7" t="n">
        <f aca="false">SUMIFS($G$5:$G$40,$B$5:$B$40,12,$C$5:$C$40,B$45)</f>
        <v>414</v>
      </c>
      <c r="C57" s="7" t="n">
        <f aca="false">SUMIFS($G$5:$G$40,$B$5:$B$40,12,$C$5:$C$40,C$45)</f>
        <v>288</v>
      </c>
      <c r="D57" s="7" t="n">
        <f aca="false">SUMIFS($G$5:$G$40,$B$5:$B$40,12,$C$5:$C$40,D$45)</f>
        <v>160</v>
      </c>
      <c r="E57" s="8" t="n">
        <f aca="false">SUM(B57:D57)</f>
        <v>862</v>
      </c>
      <c r="F57" s="21" t="n">
        <f aca="false">COUNTIFS($B$5:$B$40,12,$I$5:$I$40,"&lt;&gt;SI")</f>
        <v>3</v>
      </c>
    </row>
    <row r="58" customFormat="false" ht="15" hidden="false" customHeight="false" outlineLevel="0" collapsed="false">
      <c r="A58" s="10" t="s">
        <v>15</v>
      </c>
      <c r="B58" s="11" t="n">
        <f aca="false">SUM(B46:B57)</f>
        <v>5382</v>
      </c>
      <c r="C58" s="11" t="n">
        <f aca="false">SUM(C46:C57)</f>
        <v>3744</v>
      </c>
      <c r="D58" s="11" t="n">
        <f aca="false">SUM(D46:D57)</f>
        <v>2080</v>
      </c>
      <c r="E58" s="11" t="n">
        <f aca="false">SUM(E46:E57)</f>
        <v>11206</v>
      </c>
      <c r="F58" s="27" t="n">
        <f aca="false">SUM(F46:F57)</f>
        <v>36</v>
      </c>
    </row>
  </sheetData>
  <conditionalFormatting sqref="I5:I40">
    <cfRule type="cellIs" priority="2" operator="equal" aboveAverage="0" equalAverage="0" bottom="0" percent="0" rank="0" text="" dxfId="0">
      <formula>"NO"</formula>
    </cfRule>
  </conditionalFormatting>
  <dataValidations count="1">
    <dataValidation allowBlank="true" errorStyle="stop" operator="between" showDropDown="false" showErrorMessage="false" showInputMessage="false" sqref="I5:I40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8" min="3" style="0" width="13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2" min="11" style="0" width="14"/>
    <col collapsed="false" customWidth="true" hidden="false" outlineLevel="0" max="13" min="13" style="0" width="10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57.75" hidden="false" customHeight="true" outlineLevel="0" collapsed="false">
      <c r="A4" s="3" t="s">
        <v>2</v>
      </c>
      <c r="B4" s="3" t="s">
        <v>85</v>
      </c>
      <c r="C4" s="3" t="s">
        <v>86</v>
      </c>
      <c r="D4" s="3" t="s">
        <v>87</v>
      </c>
      <c r="E4" s="3" t="s">
        <v>88</v>
      </c>
      <c r="F4" s="3" t="s">
        <v>89</v>
      </c>
      <c r="G4" s="3" t="s">
        <v>90</v>
      </c>
      <c r="H4" s="3" t="s">
        <v>91</v>
      </c>
      <c r="I4" s="3" t="s">
        <v>92</v>
      </c>
      <c r="J4" s="3" t="s">
        <v>93</v>
      </c>
      <c r="K4" s="3" t="s">
        <v>94</v>
      </c>
      <c r="L4" s="3" t="s">
        <v>95</v>
      </c>
      <c r="M4" s="3" t="s">
        <v>96</v>
      </c>
    </row>
    <row r="5" customFormat="false" ht="15" hidden="false" customHeight="false" outlineLevel="0" collapsed="false">
      <c r="A5" s="22" t="str">
        <f aca="false">Riepilogo!A5</f>
        <v>Oshina</v>
      </c>
      <c r="B5" s="7" t="n">
        <f aca="false">Riepilogo!E5*Parametri!$B$12</f>
        <v>5382</v>
      </c>
      <c r="C5" s="7" t="n">
        <f aca="false">B5/Parametri!$B$7*Parametri!$B$13</f>
        <v>448.5</v>
      </c>
      <c r="D5" s="7" t="n">
        <f aca="false">Riepilogo!C5*(Parametri!$B$7+Parametri!$B$13)/Parametri!$B$7</f>
        <v>12.4583333333333</v>
      </c>
      <c r="E5" s="28" t="n">
        <f aca="false">IF(Riepilogo!D5&gt;24,Parametri!$B$24,INDEX(Parametri!$B$21:$B$23,MATCH(D5,Parametri!$A$21:$A$23,1)))</f>
        <v>2.34</v>
      </c>
      <c r="F5" s="7" t="n">
        <f aca="false">E5*Riepilogo!D5*Parametri!$B$12</f>
        <v>1095.12</v>
      </c>
      <c r="G5" s="7" t="n">
        <f aca="false">Parametri!$B$15*Riepilogo!D5*Parametri!$B$12</f>
        <v>28.08</v>
      </c>
      <c r="H5" s="7" t="n">
        <f aca="false">(B5+C5)/Parametri!$B$14</f>
        <v>431.888888888889</v>
      </c>
      <c r="I5" s="8" t="n">
        <f aca="false">B5+C5+F5+G5+H5</f>
        <v>7385.58888888889</v>
      </c>
      <c r="J5" s="23" t="n">
        <f aca="false">Riepilogo!G5</f>
        <v>5382</v>
      </c>
      <c r="K5" s="8" t="n">
        <f aca="false">I5-J5</f>
        <v>2003.58888888889</v>
      </c>
      <c r="L5" s="7" t="n">
        <f aca="false">K5/Parametri!$B$7</f>
        <v>166.965740740741</v>
      </c>
      <c r="M5" s="9" t="n">
        <f aca="false">IF(J5=0,0,K5/J5)</f>
        <v>0.372275899087493</v>
      </c>
    </row>
    <row r="6" customFormat="false" ht="15" hidden="false" customHeight="false" outlineLevel="0" collapsed="false">
      <c r="A6" s="22" t="str">
        <f aca="false">Riepilogo!A6</f>
        <v>Elisa</v>
      </c>
      <c r="B6" s="7" t="n">
        <f aca="false">Riepilogo!E6*Parametri!$B$12</f>
        <v>3744</v>
      </c>
      <c r="C6" s="7" t="n">
        <f aca="false">B6/Parametri!$B$7*Parametri!$B$13</f>
        <v>312</v>
      </c>
      <c r="D6" s="7" t="n">
        <f aca="false">Riepilogo!C6*(Parametri!$B$7+Parametri!$B$13)/Parametri!$B$7</f>
        <v>13</v>
      </c>
      <c r="E6" s="28" t="n">
        <f aca="false">IF(Riepilogo!D6&gt;24,Parametri!$B$24,INDEX(Parametri!$B$21:$B$23,MATCH(D6,Parametri!$A$21:$A$23,1)))</f>
        <v>2.34</v>
      </c>
      <c r="F6" s="7" t="n">
        <f aca="false">E6*Riepilogo!D6*Parametri!$B$12</f>
        <v>730.08</v>
      </c>
      <c r="G6" s="7" t="n">
        <f aca="false">Parametri!$B$15*Riepilogo!D6*Parametri!$B$12</f>
        <v>18.72</v>
      </c>
      <c r="H6" s="7" t="n">
        <f aca="false">(B6+C6)/Parametri!$B$14</f>
        <v>300.444444444444</v>
      </c>
      <c r="I6" s="8" t="n">
        <f aca="false">B6+C6+F6+G6+H6</f>
        <v>5105.24444444444</v>
      </c>
      <c r="J6" s="23" t="n">
        <f aca="false">Riepilogo!G6</f>
        <v>3744</v>
      </c>
      <c r="K6" s="8" t="n">
        <f aca="false">I6-J6</f>
        <v>1361.24444444444</v>
      </c>
      <c r="L6" s="7" t="n">
        <f aca="false">K6/Parametri!$B$7</f>
        <v>113.437037037037</v>
      </c>
      <c r="M6" s="9" t="n">
        <f aca="false">IF(J6=0,0,K6/J6)</f>
        <v>0.36358024691358</v>
      </c>
    </row>
    <row r="7" customFormat="false" ht="15" hidden="false" customHeight="false" outlineLevel="0" collapsed="false">
      <c r="A7" s="22" t="str">
        <f aca="false">Riepilogo!A7</f>
        <v>Corina</v>
      </c>
      <c r="B7" s="7" t="n">
        <f aca="false">Riepilogo!E7*Parametri!$B$12</f>
        <v>2080</v>
      </c>
      <c r="C7" s="7" t="n">
        <f aca="false">B7/Parametri!$B$7*Parametri!$B$13</f>
        <v>173.333333333333</v>
      </c>
      <c r="D7" s="7" t="n">
        <f aca="false">Riepilogo!C7*(Parametri!$B$7+Parametri!$B$13)/Parametri!$B$7</f>
        <v>10.8333333333333</v>
      </c>
      <c r="E7" s="28" t="n">
        <f aca="false">IF(Riepilogo!D7&gt;24,Parametri!$B$24,INDEX(Parametri!$B$21:$B$23,MATCH(D7,Parametri!$A$21:$A$23,1)))</f>
        <v>1.92</v>
      </c>
      <c r="F7" s="7" t="n">
        <f aca="false">E7*Riepilogo!D7*Parametri!$B$12</f>
        <v>399.36</v>
      </c>
      <c r="G7" s="7" t="n">
        <f aca="false">Parametri!$B$15*Riepilogo!D7*Parametri!$B$12</f>
        <v>12.48</v>
      </c>
      <c r="H7" s="7" t="n">
        <f aca="false">(B7+C7)/Parametri!$B$14</f>
        <v>166.913580246914</v>
      </c>
      <c r="I7" s="8" t="n">
        <f aca="false">B7+C7+F7+G7+H7</f>
        <v>2832.08691358025</v>
      </c>
      <c r="J7" s="23" t="n">
        <f aca="false">Riepilogo!G7</f>
        <v>2080</v>
      </c>
      <c r="K7" s="8" t="n">
        <f aca="false">I7-J7</f>
        <v>752.086913580247</v>
      </c>
      <c r="L7" s="7" t="n">
        <f aca="false">K7/Parametri!$B$7</f>
        <v>62.6739094650206</v>
      </c>
      <c r="M7" s="9" t="n">
        <f aca="false">IF(J7=0,0,K7/J7)</f>
        <v>0.36158024691358</v>
      </c>
    </row>
    <row r="8" customFormat="false" ht="15" hidden="false" customHeight="false" outlineLevel="0" collapsed="false">
      <c r="A8" s="10" t="s">
        <v>15</v>
      </c>
      <c r="B8" s="11" t="n">
        <f aca="false">SUM(B5:B7)</f>
        <v>11206</v>
      </c>
      <c r="C8" s="11" t="n">
        <f aca="false">SUM(C5:C7)</f>
        <v>933.833333333333</v>
      </c>
      <c r="D8" s="10"/>
      <c r="E8" s="10"/>
      <c r="F8" s="11" t="n">
        <f aca="false">SUM(F5:F7)</f>
        <v>2224.56</v>
      </c>
      <c r="G8" s="11" t="n">
        <f aca="false">SUM(G5:G7)</f>
        <v>59.28</v>
      </c>
      <c r="H8" s="11" t="n">
        <f aca="false">SUM(H5:H7)</f>
        <v>899.246913580247</v>
      </c>
      <c r="I8" s="11" t="n">
        <f aca="false">SUM(I5:I7)</f>
        <v>15322.9202469136</v>
      </c>
      <c r="J8" s="11" t="n">
        <f aca="false">SUM(J5:J7)</f>
        <v>11206</v>
      </c>
      <c r="K8" s="11" t="n">
        <f aca="false">SUM(K5:K7)</f>
        <v>4116.92024691358</v>
      </c>
      <c r="L8" s="11" t="n">
        <f aca="false">SUM(L5:L7)</f>
        <v>343.076687242798</v>
      </c>
      <c r="M8" s="13" t="n">
        <f aca="false">IF(J8=0,0,K8/J8)</f>
        <v>0.367385351321933</v>
      </c>
    </row>
    <row r="11" customFormat="false" ht="15" hidden="false" customHeight="false" outlineLevel="0" collapsed="false">
      <c r="A11" s="14" t="s">
        <v>97</v>
      </c>
    </row>
    <row r="12" customFormat="false" ht="15" hidden="false" customHeight="false" outlineLevel="0" collapsed="false">
      <c r="A12" s="15" t="s">
        <v>98</v>
      </c>
      <c r="B12" s="8" t="n">
        <f aca="false">(F8+G8)/4</f>
        <v>570.96</v>
      </c>
    </row>
    <row r="13" customFormat="false" ht="15" hidden="false" customHeight="false" outlineLevel="0" collapsed="false">
      <c r="A13" s="15" t="s">
        <v>99</v>
      </c>
      <c r="B13" s="8" t="n">
        <f aca="false">H8/Parametri!$B$7</f>
        <v>74.9372427983539</v>
      </c>
    </row>
    <row r="14" customFormat="false" ht="15" hidden="false" customHeight="false" outlineLevel="0" collapsed="false">
      <c r="A14" s="15" t="s">
        <v>100</v>
      </c>
      <c r="B14" s="8" t="n">
        <f aca="false">C8</f>
        <v>933.833333333333</v>
      </c>
    </row>
    <row r="15" customFormat="false" ht="15" hidden="false" customHeight="false" outlineLevel="0" collapsed="false">
      <c r="A15" s="15" t="s">
        <v>101</v>
      </c>
      <c r="B15" s="8" t="n">
        <f aca="false">MIN(1549.37,(E5-INDEX(Parametri!$C$21:$C$23,MATCH(D5,Parametri!$A$21:$A$23,1)))*Riepilogo!D5*Parametri!$B$12+(E6-INDEX(Parametri!$C$21:$C$23,MATCH(D6,Parametri!$A$21:$A$23,1)))*Riepilogo!D6*Parametri!$B$12+(E7-INDEX(Parametri!$C$21:$C$23,MATCH(D7,Parametri!$A$21:$A$23,1)))*Riepilogo!D7*Parametri!$B$12)</f>
        <v>1549.37</v>
      </c>
      <c r="C15" s="2" t="s">
        <v>102</v>
      </c>
    </row>
    <row r="18" customFormat="false" ht="15" hidden="false" customHeight="false" outlineLevel="0" collapsed="false">
      <c r="A18" s="14" t="s">
        <v>103</v>
      </c>
    </row>
    <row r="19" customFormat="false" ht="15" hidden="false" customHeight="false" outlineLevel="0" collapsed="false">
      <c r="A19" s="17" t="s">
        <v>104</v>
      </c>
    </row>
    <row r="20" customFormat="false" ht="15" hidden="false" customHeight="false" outlineLevel="0" collapsed="false">
      <c r="A20" s="17" t="s">
        <v>105</v>
      </c>
    </row>
    <row r="21" customFormat="false" ht="15" hidden="false" customHeight="false" outlineLevel="0" collapsed="false">
      <c r="A21" s="17" t="s">
        <v>106</v>
      </c>
    </row>
    <row r="22" customFormat="false" ht="15" hidden="false" customHeight="false" outlineLevel="0" collapsed="false">
      <c r="A22" s="17" t="s">
        <v>107</v>
      </c>
    </row>
    <row r="23" customFormat="false" ht="15" hidden="false" customHeight="false" outlineLevel="0" collapsed="false">
      <c r="A23" s="17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2026-10-07T14:35:35Z</dcterms:created>
  <dc:creator>openpyxl</dc:creator>
  <dc:description/>
  <dc:language>en-US</dc:language>
  <cp:lastModifiedBy/>
  <dcterms:modified xsi:type="dcterms:W3CDTF">2026-10-07T14:35:35Z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