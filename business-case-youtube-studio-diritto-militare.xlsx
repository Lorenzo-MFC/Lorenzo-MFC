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Riepilogo" sheetId="2" state="visible" r:id="rId4"/>
    <sheet name="Ipotesi" sheetId="3" state="visible" r:id="rId5"/>
    <sheet name="Social" sheetId="4" state="visible" r:id="rId6"/>
    <sheet name="Scenario Prudente" sheetId="5" state="visible" r:id="rId7"/>
    <sheet name="Scenario Medio" sheetId="6" state="visible" r:id="rId8"/>
    <sheet name="Scenario Buon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Stima per un social media manager freelance in Italia; sostituire con il preventivo reale.</t>
        </r>
      </text>
    </comment>
  </commentList>
</comments>
</file>

<file path=xl/sharedStrings.xml><?xml version="1.0" encoding="utf-8"?>
<sst xmlns="http://schemas.openxmlformats.org/spreadsheetml/2006/main" count="491" uniqueCount="309">
  <si>
    <t xml:space="preserve">Business case canale YouTube — Studio di diritto militare</t>
  </si>
  <si>
    <t xml:space="preserve">Modello a 36 mesi, tre scenari. Tutti i valori sono ipotesi di esempio da sostituire con i dati dello studio.</t>
  </si>
  <si>
    <t xml:space="preserve">Come si usa</t>
  </si>
  <si>
    <t xml:space="preserve">1.</t>
  </si>
  <si>
    <t xml:space="preserve">Vai al foglio «Ipotesi» e sostituisci i valori in BLU con i dati reali dello studio (tariffe, ore, costi).</t>
  </si>
  <si>
    <t xml:space="preserve">2.</t>
  </si>
  <si>
    <t xml:space="preserve">Le celle con sfondo GIALLO sono le leve che spostano di più il risultato: verificale per prime.</t>
  </si>
  <si>
    <t xml:space="preserve">3.</t>
  </si>
  <si>
    <t xml:space="preserve">I fogli «Scenario Prudente», «Scenario Medio» e «Scenario Buono» calcolano mese per mese: non vanno modificati.</t>
  </si>
  <si>
    <t xml:space="preserve">4.</t>
  </si>
  <si>
    <t xml:space="preserve">Il foglio «Riepilogo» confronta i tre scenari: ricavi, margine, ROI, mese di pareggio, cassa.</t>
  </si>
  <si>
    <t xml:space="preserve">5.</t>
  </si>
  <si>
    <t xml:space="preserve">Il foglio «Social» stima costi e contatti in più di Facebook, LinkedIn, Substack, Instagram/TikTok e X. Metti 0 nella colonna «Attivo» per escludere un canale.</t>
  </si>
  <si>
    <t xml:space="preserve">Legenda colori</t>
  </si>
  <si>
    <t xml:space="preserve">Blu</t>
  </si>
  <si>
    <t xml:space="preserve">Dato inserito a mano (ipotesi modificabile).</t>
  </si>
  <si>
    <t xml:space="preserve">Nero</t>
  </si>
  <si>
    <t xml:space="preserve">Formula calcolata: non modificare.</t>
  </si>
  <si>
    <t xml:space="preserve">Verde</t>
  </si>
  <si>
    <t xml:space="preserve">Valore preso da un altro foglio.</t>
  </si>
  <si>
    <t xml:space="preserve">Giallo</t>
  </si>
  <si>
    <t xml:space="preserve">Ipotesi chiave da verificare per prima.</t>
  </si>
  <si>
    <t xml:space="preserve">Logica del modello</t>
  </si>
  <si>
    <t xml:space="preserve">Imbuto</t>
  </si>
  <si>
    <t xml:space="preserve">Visualizzazioni → contatti → consulenze iniziali a pagamento → incarichi.</t>
  </si>
  <si>
    <t xml:space="preserve">Capacità</t>
  </si>
  <si>
    <t xml:space="preserve">Gli incarichi acquisiti non possono superare le ore disponibili dello studio: l'eccedenza è riportata come «incarichi persi».</t>
  </si>
  <si>
    <t xml:space="preserve">Altri social</t>
  </si>
  <si>
    <t xml:space="preserve">Ogni video viene riadattato per gli altri canali: i contatti in più sono una percentuale dei contatti YouTube e passano per la stessa consulenza e lo stesso limite di capacità.</t>
  </si>
  <si>
    <t xml:space="preserve">Standardizzazione</t>
  </si>
  <si>
    <t xml:space="preserve">Dal mese 13 i ricorsi sui concorsi richiedono meno ore (modelli e ricorsi collettivi): la capacità aumenta.</t>
  </si>
  <si>
    <t xml:space="preserve">Margine</t>
  </si>
  <si>
    <t xml:space="preserve">Ricavi − costi del canale (cassa + tempo dell'avvocato) − costo di erogazione degli incarichi (ore × costo interno).</t>
  </si>
  <si>
    <t xml:space="preserve">Cassa</t>
  </si>
  <si>
    <t xml:space="preserve">Gli onorari si incassano in acconto + saldo dopo N mesi; il tempo dell'avvocato sul canale non è un'uscita di cassa.</t>
  </si>
  <si>
    <t xml:space="preserve">Esclusi</t>
  </si>
  <si>
    <t xml:space="preserve">Spese vive e contributo unificato (rimborsati dal cliente), IVA, Cassa Forense, imposte.</t>
  </si>
  <si>
    <t xml:space="preserve">Avvertenze</t>
  </si>
  <si>
    <t xml:space="preserve">!</t>
  </si>
  <si>
    <t xml:space="preserve">I tassi di conversione e le visualizzazioni sono stime indicative, non dati di mercato: dopo 3–6 mesi sostituiscili con i dati reali di YouTube Studio e del gestionale.</t>
  </si>
  <si>
    <t xml:space="preserve">Il pareggio è calcolato sul margine di contribuzione, non sul fatturato: per questo servono più incarichi rispetto a un calcolo sui soli ricavi.</t>
  </si>
  <si>
    <t xml:space="preserve">Riepilogo e confronto scenari</t>
  </si>
  <si>
    <t xml:space="preserve">Valori collegati ai fogli di scenario (verde). Margine = ricavi − costi del canale − costo di erogazione degli incarichi.</t>
  </si>
  <si>
    <t xml:space="preserve">1. Sintesi sui 36 mesi</t>
  </si>
  <si>
    <t xml:space="preserve">Indicatore</t>
  </si>
  <si>
    <t xml:space="preserve">Prudente</t>
  </si>
  <si>
    <t xml:space="preserve">Medio</t>
  </si>
  <si>
    <t xml:space="preserve">Buono</t>
  </si>
  <si>
    <t xml:space="preserve">Unità</t>
  </si>
  <si>
    <t xml:space="preserve">Incarichi acquisiti</t>
  </si>
  <si>
    <t xml:space="preserve">n.</t>
  </si>
  <si>
    <t xml:space="preserve">Incarichi persi per mancanza di capacità</t>
  </si>
  <si>
    <t xml:space="preserve">Ricavi totali</t>
  </si>
  <si>
    <t xml:space="preserve">€</t>
  </si>
  <si>
    <t xml:space="preserve">Costi del canale (cassa + tempo avvocato)</t>
  </si>
  <si>
    <t xml:space="preserve">Costo di erogazione degli incarichi</t>
  </si>
  <si>
    <t xml:space="preserve">Margine economico</t>
  </si>
  <si>
    <t xml:space="preserve">ROI del canale (margine / costi del canale)</t>
  </si>
  <si>
    <t xml:space="preserve">volte</t>
  </si>
  <si>
    <t xml:space="preserve">Costo di acquisizione per incarico (CAC)</t>
  </si>
  <si>
    <t xml:space="preserve">€/incarico</t>
  </si>
  <si>
    <t xml:space="preserve">Mese di pareggio (margine cumulato ≥ 0)</t>
  </si>
  <si>
    <t xml:space="preserve">mese n.</t>
  </si>
  <si>
    <t xml:space="preserve">Cassa cumulata a fine mese 36</t>
  </si>
  <si>
    <t xml:space="preserve">Incarichi in più necessari per coprire i costi del 1° anno</t>
  </si>
  <si>
    <t xml:space="preserve">n. (su margine)</t>
  </si>
  <si>
    <t xml:space="preserve">Stessa soglia calcolata sul solo fatturato (per confronto)</t>
  </si>
  <si>
    <t xml:space="preserve">n. (su ricavi)</t>
  </si>
  <si>
    <t xml:space="preserve">2. Dettaglio per anno</t>
  </si>
  <si>
    <t xml:space="preserve">Scenario Prudente</t>
  </si>
  <si>
    <t xml:space="preserve">Anno 1</t>
  </si>
  <si>
    <t xml:space="preserve">Anno 2</t>
  </si>
  <si>
    <t xml:space="preserve">Anno 3</t>
  </si>
  <si>
    <t xml:space="preserve">Totale</t>
  </si>
  <si>
    <t xml:space="preserve">Visualizzazioni</t>
  </si>
  <si>
    <t xml:space="preserve">Contatti</t>
  </si>
  <si>
    <t xml:space="preserve">Consulenze a pagamento</t>
  </si>
  <si>
    <t xml:space="preserve">Incarichi persi per capacità</t>
  </si>
  <si>
    <t xml:space="preserve">Ricavi totali (€)</t>
  </si>
  <si>
    <t xml:space="preserve">Costi canale cassa (€)</t>
  </si>
  <si>
    <t xml:space="preserve">Tempo avvocato sul canale (€)</t>
  </si>
  <si>
    <t xml:space="preserve">Costo erogazione incarichi (€)</t>
  </si>
  <si>
    <t xml:space="preserve">Margine economico (€)</t>
  </si>
  <si>
    <t xml:space="preserve">Incassi (€)</t>
  </si>
  <si>
    <t xml:space="preserve">Flusso di cassa (€)</t>
  </si>
  <si>
    <t xml:space="preserve">ROI dell'anno (margine / costi del canale)</t>
  </si>
  <si>
    <t xml:space="preserve">Scenario Medio</t>
  </si>
  <si>
    <t xml:space="preserve">Scenario Buono</t>
  </si>
  <si>
    <t xml:space="preserve">3. Altri social (Facebook, LinkedIn, Substack, Instagram/TikTok, X) — 36 mesi</t>
  </si>
  <si>
    <t xml:space="preserve">Contatti in più dagli altri social</t>
  </si>
  <si>
    <t xml:space="preserve">Incarichi in più</t>
  </si>
  <si>
    <t xml:space="preserve">Incarichi in più persi per mancanza di capacità</t>
  </si>
  <si>
    <t xml:space="preserve">Ricavi in più</t>
  </si>
  <si>
    <t xml:space="preserve">Costi dei social (cassa + tempo avvocato)</t>
  </si>
  <si>
    <t xml:space="preserve">Costo di erogazione degli incarichi in più</t>
  </si>
  <si>
    <t xml:space="preserve">Margine in più dai social</t>
  </si>
  <si>
    <t xml:space="preserve">Ritorno dei social (margine / costi dei social)</t>
  </si>
  <si>
    <t xml:space="preserve">Margine totale YouTube + social</t>
  </si>
  <si>
    <t xml:space="preserve">Mese di pareggio totale</t>
  </si>
  <si>
    <t xml:space="preserve">Cassa cumulata totale a fine mese 36</t>
  </si>
  <si>
    <t xml:space="preserve">Margine in più dai social – anno 1</t>
  </si>
  <si>
    <t xml:space="preserve">Margine in più dai social – anno 2</t>
  </si>
  <si>
    <t xml:space="preserve">Margine in più dai social – anno 3</t>
  </si>
  <si>
    <t xml:space="preserve">4. Margine cumulato mese per mese, solo YouTube (dati del grafico)</t>
  </si>
  <si>
    <t xml:space="preserve">Mese n.</t>
  </si>
  <si>
    <t xml:space="preserve">Ipotesi del modello</t>
  </si>
  <si>
    <t xml:space="preserve">Modifica solo le celle in blu. Valori di esempio da sostituire con quelli dello studio.</t>
  </si>
  <si>
    <t xml:space="preserve">A. Parametri comuni a tutti gli scenari</t>
  </si>
  <si>
    <t xml:space="preserve">Valore</t>
  </si>
  <si>
    <t xml:space="preserve">Nota / fonte</t>
  </si>
  <si>
    <t xml:space="preserve">Mese di avvio del canale (1 = gennaio)</t>
  </si>
  <si>
    <t xml:space="preserve">mese</t>
  </si>
  <si>
    <t xml:space="preserve">Ipotesi: avvio a novembre. Serve per applicare la stagionalità corretta.</t>
  </si>
  <si>
    <t xml:space="preserve">Video lunghi pubblicati al mese</t>
  </si>
  <si>
    <t xml:space="preserve">1 a settimana, come da piano editoriale; gli Shorts sono ricavati dagli stessi video.</t>
  </si>
  <si>
    <t xml:space="preserve">Costo montaggio per video lungo (Shorts inclusi)</t>
  </si>
  <si>
    <t xml:space="preserve">€/video</t>
  </si>
  <si>
    <t xml:space="preserve">Stima per montatore freelance; chiedere 2–3 preventivi.</t>
  </si>
  <si>
    <t xml:space="preserve">Attrezzatura (una tantum, mese 1)</t>
  </si>
  <si>
    <t xml:space="preserve">Microfono, luci, smartphone/telecamera, treppiede.</t>
  </si>
  <si>
    <t xml:space="preserve">Pagine dedicate sul sito (una tantum, mese 1)</t>
  </si>
  <si>
    <t xml:space="preserve">Una pagina per area (concorsi, disciplina, trasferimenti, salute, penale) collegata ai video.</t>
  </si>
  <si>
    <t xml:space="preserve">Strumenti, copertine, sottotitoli</t>
  </si>
  <si>
    <t xml:space="preserve">€/mese</t>
  </si>
  <si>
    <t xml:space="preserve">Software di grafica e sottotitolazione.</t>
  </si>
  <si>
    <t xml:space="preserve">Budget Google Ads (facoltativo)</t>
  </si>
  <si>
    <t xml:space="preserve">Lasciato a zero: il modello misura il solo canale organico.</t>
  </si>
  <si>
    <t xml:space="preserve">Ore settimanali dell'avvocato sul canale</t>
  </si>
  <si>
    <t xml:space="preserve">ore/sett.</t>
  </si>
  <si>
    <t xml:space="preserve">Registrazione a blocchi + revisione testi + controllo deontologico.</t>
  </si>
  <si>
    <t xml:space="preserve">Costo opportunità di un'ora dell'avvocato</t>
  </si>
  <si>
    <t xml:space="preserve">€/ora</t>
  </si>
  <si>
    <t xml:space="preserve">Valore di un'ora fatturabile persa. Non è un'uscita di cassa.</t>
  </si>
  <si>
    <t xml:space="preserve">Ore settimanali del praticante sul canale</t>
  </si>
  <si>
    <t xml:space="preserve">Ricerca, scalette, risposte ai commenti.</t>
  </si>
  <si>
    <t xml:space="preserve">Costo orario del praticante</t>
  </si>
  <si>
    <t xml:space="preserve">Rimborso/compenso orario stimato.</t>
  </si>
  <si>
    <t xml:space="preserve">Mesi di avviamento (rampa delle visualizzazioni)</t>
  </si>
  <si>
    <t xml:space="preserve">mesi</t>
  </si>
  <si>
    <t xml:space="preserve">Crescita lenta all'inizio (curva quadratica): al mese 1 circa il 3% del livello a regime, al mese 3 il 25%, pieno regime alla fine del periodo.</t>
  </si>
  <si>
    <t xml:space="preserve">Prezzo della consulenza iniziale</t>
  </si>
  <si>
    <t xml:space="preserve">Scalato dalla parcella se il cliente conferisce l'incarico.</t>
  </si>
  <si>
    <t xml:space="preserve">Acconto incassato al conferimento dell'incarico</t>
  </si>
  <si>
    <t xml:space="preserve">%</t>
  </si>
  <si>
    <t xml:space="preserve">Il resto è incassato come saldo.</t>
  </si>
  <si>
    <t xml:space="preserve">Mesi per incassare il saldo</t>
  </si>
  <si>
    <t xml:space="preserve">Tempo medio tra incarico e saldo.</t>
  </si>
  <si>
    <t xml:space="preserve">Costo interno per ora di lavoro sulle pratiche</t>
  </si>
  <si>
    <t xml:space="preserve">Costo medio del team che lavora le pratiche (titolare, collaboratori, praticanti).</t>
  </si>
  <si>
    <t xml:space="preserve">Ore mensili disponibili per nuovi incarichi dal canale</t>
  </si>
  <si>
    <t xml:space="preserve">ore/mese</t>
  </si>
  <si>
    <t xml:space="preserve">Capacità dello studio dedicabile ai nuovi clienti da YouTube.</t>
  </si>
  <si>
    <t xml:space="preserve">Riduzione ore sui ricorsi per concorsi dal mese 13</t>
  </si>
  <si>
    <t xml:space="preserve">Effetto di modelli standard e ricorsi collettivi sullo stesso bando.</t>
  </si>
  <si>
    <t xml:space="preserve">Compenso annuo per convenzione con un sindacato militare</t>
  </si>
  <si>
    <t xml:space="preserve">€/anno</t>
  </si>
  <si>
    <t xml:space="preserve">Consulenza continuativa agli iscritti (L. 46/2022). Nessun compenso per cliente procurato (art. 37 CDF).</t>
  </si>
  <si>
    <t xml:space="preserve">Mese di avvio delle convenzioni</t>
  </si>
  <si>
    <t xml:space="preserve">Dal secondo anno.</t>
  </si>
  <si>
    <t xml:space="preserve">Mese di avvio di formazione e prodotti digitali</t>
  </si>
  <si>
    <t xml:space="preserve">Dal terzo anno: webinar, corsi per delegati, guide.</t>
  </si>
  <si>
    <t xml:space="preserve">B. Mix degli incarichi per area</t>
  </si>
  <si>
    <t xml:space="preserve">Area</t>
  </si>
  <si>
    <t xml:space="preserve">Quota sul totale</t>
  </si>
  <si>
    <t xml:space="preserve">Onorario medio (€)</t>
  </si>
  <si>
    <t xml:space="preserve">Ore medie per incarico</t>
  </si>
  <si>
    <t xml:space="preserve">Nota</t>
  </si>
  <si>
    <t xml:space="preserve">Concorsi (esclusioni, ricorsi TAR)</t>
  </si>
  <si>
    <t xml:space="preserve">Volume alto, pratiche simili e standardizzabili.</t>
  </si>
  <si>
    <t xml:space="preserve">Disciplinare e trasferimenti</t>
  </si>
  <si>
    <t xml:space="preserve">Sanzioni, trasferimenti d'autorità, L. 104, art. 42-bis.</t>
  </si>
  <si>
    <t xml:space="preserve">Causa di servizio e pensioni</t>
  </si>
  <si>
    <t xml:space="preserve">Equo indennizzo, pensione privilegiata, vittime del dovere.</t>
  </si>
  <si>
    <t xml:space="preserve">Penale militare</t>
  </si>
  <si>
    <t xml:space="preserve">Reati militari davanti ai tribunali militari.</t>
  </si>
  <si>
    <t xml:space="preserve">Totale / media ponderata</t>
  </si>
  <si>
    <t xml:space="preserve">Valori derivati (calcolati, non modificare)</t>
  </si>
  <si>
    <t xml:space="preserve">Onorario medio ponderato per incarico</t>
  </si>
  <si>
    <t xml:space="preserve">Ore medie per incarico (anno 1)</t>
  </si>
  <si>
    <t xml:space="preserve">ore</t>
  </si>
  <si>
    <t xml:space="preserve">Ore medie per incarico (dal mese 13)</t>
  </si>
  <si>
    <t xml:space="preserve">Costo di erogazione per incarico (anno 1)</t>
  </si>
  <si>
    <t xml:space="preserve">Margine di contribuzione per incarico (anno 1)</t>
  </si>
  <si>
    <t xml:space="preserve">Capacità: incarichi gestibili al mese (anno 1)</t>
  </si>
  <si>
    <t xml:space="preserve">incarichi/mese</t>
  </si>
  <si>
    <t xml:space="preserve">Capacità: incarichi gestibili al mese (dal mese 13)</t>
  </si>
  <si>
    <t xml:space="preserve">C. Ipotesi per scenario</t>
  </si>
  <si>
    <t xml:space="preserve">Ipotesi</t>
  </si>
  <si>
    <t xml:space="preserve">Visualizzazioni al mese a fine avviamento</t>
  </si>
  <si>
    <t xml:space="preserve">Stima indicativa per un canale di nicchia; sostituire con i dati di YouTube Studio dopo 3–6 mesi.</t>
  </si>
  <si>
    <t xml:space="preserve">Crescita annua delle visualizzazioni dopo il 1° anno</t>
  </si>
  <si>
    <t xml:space="preserve">I video già pubblicati continuano a portare visite: l'archivio cresce.</t>
  </si>
  <si>
    <t xml:space="preserve">Tasso di contatto (contatti / visualizzazioni)</t>
  </si>
  <si>
    <t xml:space="preserve">Ricerche con un problema urgente: tasso più alto di un canale generalista. Ipotesi da verificare.</t>
  </si>
  <si>
    <t xml:space="preserve">Contatti che prenotano la consulenza a pagamento</t>
  </si>
  <si>
    <t xml:space="preserve">Gli altri ricevono solo informazioni generali.</t>
  </si>
  <si>
    <t xml:space="preserve">Consulenze che diventano incarico</t>
  </si>
  <si>
    <t xml:space="preserve">Dal gestionale dello studio: incarichi / consulenze iniziali.</t>
  </si>
  <si>
    <t xml:space="preserve">Convenzioni con sindacati militari (numero)</t>
  </si>
  <si>
    <t xml:space="preserve">Attive dal mese indicato in B26.</t>
  </si>
  <si>
    <t xml:space="preserve">Formazione e prodotti digitali</t>
  </si>
  <si>
    <t xml:space="preserve">€/mese dal mese indicato in B27.</t>
  </si>
  <si>
    <t xml:space="preserve">Conversione complessiva contatto → incarico</t>
  </si>
  <si>
    <t xml:space="preserve">Calcolato.</t>
  </si>
  <si>
    <t xml:space="preserve">D. Stagionalità (bandi, visite mediche, esiti dei concorsi)</t>
  </si>
  <si>
    <t xml:space="preserve">Mese</t>
  </si>
  <si>
    <t xml:space="preserve">Indice</t>
  </si>
  <si>
    <t xml:space="preserve">Gennaio</t>
  </si>
  <si>
    <t xml:space="preserve">Indice 1,00 = mese medio. Ipotesi generica: aggiornare con il calendario reale dei bandi seguiti.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</si>
  <si>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</si>
  <si>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</si>
  <si>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</si>
  <si>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</si>
  <si>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</si>
  <si>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</si>
  <si>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</si>
  <si>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</si>
  <si>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</si>
  <si>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</si>
  <si>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</si>
  <si>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Media (deve essere 1,00)</t>
  </si>
  <si>
    <t xml:space="preserve">Altri social: costi e contatti per canale</t>
  </si>
  <si>
    <t xml:space="preserve">Ogni canale riusa i video di YouTube. Modifica le celle blu; 0 in «Attivo» esclude il canale da tutto il modello.</t>
  </si>
  <si>
    <t xml:space="preserve">A. Canali (modifica le celle blu)</t>
  </si>
  <si>
    <t xml:space="preserve">Canale</t>
  </si>
  <si>
    <t xml:space="preserve">Attivo (1=sì)</t>
  </si>
  <si>
    <t xml:space="preserve">Mese di avvio</t>
  </si>
  <si>
    <t xml:space="preserve">Ore social manager / sett.</t>
  </si>
  <si>
    <t xml:space="preserve">Ore avvocato / sett.</t>
  </si>
  <si>
    <t xml:space="preserve">Ore praticante / sett.</t>
  </si>
  <si>
    <t xml:space="preserve">Pubblicità (€/mese)</t>
  </si>
  <si>
    <t xml:space="preserve">Strumenti (€/mese)</t>
  </si>
  <si>
    <t xml:space="preserve">Contatti in più (% dei contatti YouTube)</t>
  </si>
  <si>
    <t xml:space="preserve">Costo cassa (€/mese)</t>
  </si>
  <si>
    <t xml:space="preserve">Tempo avvocato (€/mese)</t>
  </si>
  <si>
    <t xml:space="preserve">Costo totale (€/anno)</t>
  </si>
  <si>
    <t xml:space="preserve">Ruolo del canale</t>
  </si>
  <si>
    <t xml:space="preserve">Facebook</t>
  </si>
  <si>
    <t xml:space="preserve">Video e post nei gruppi militari: contatti per disciplina, trasferimenti, causa di servizio.</t>
  </si>
  <si>
    <t xml:space="preserve">LinkedIn</t>
  </si>
  <si>
    <t xml:space="preserve">Autorevolezza, segnalazioni da colleghi, rapporti con i sindacati militari.</t>
  </si>
  <si>
    <t xml:space="preserve">Substack (newsletter)</t>
  </si>
  <si>
    <t xml:space="preserve">Newsletter ogni 2 settimane dalle scalette dei video: pubblico di proprietà dello studio.</t>
  </si>
  <si>
    <t xml:space="preserve">Instagram e TikTok</t>
  </si>
  <si>
    <t xml:space="preserve">Gli stessi Shorts di YouTube per i candidati ai concorsi (18–30 anni).</t>
  </si>
  <si>
    <t xml:space="preserve">X</t>
  </si>
  <si>
    <t xml:space="preserve">Giornalisti e dibattito sulla Difesa: visibilità, quasi nessun cliente.</t>
  </si>
  <si>
    <t xml:space="preserve">Strumenti comuni</t>
  </si>
  <si>
    <t xml:space="preserve">Programmazione dei post, grafica, monitoraggio dei concorrenti.</t>
  </si>
  <si>
    <t xml:space="preserve">Totale canali attivi</t>
  </si>
  <si>
    <t xml:space="preserve">Costo orario social manager (freelance)</t>
  </si>
  <si>
    <t xml:space="preserve">Le percentuali di contatti in più sono stime da verificare dopo 3–6 mesi con i dati di ogni canale (modulo «come ci ha conosciuto?»).</t>
  </si>
  <si>
    <t xml:space="preserve">Costo orario avvocato</t>
  </si>
  <si>
    <t xml:space="preserve">Costo orario praticante</t>
  </si>
  <si>
    <t xml:space="preserve">B. Valutazione per canale (scenario medio, 2° anno)</t>
  </si>
  <si>
    <t xml:space="preserve">Costo annuo (€)</t>
  </si>
  <si>
    <t xml:space="preserve">Contatti in più all'anno</t>
  </si>
  <si>
    <t xml:space="preserve">Costo per contatto (€)</t>
  </si>
  <si>
    <t xml:space="preserve">Incarichi in più all'anno</t>
  </si>
  <si>
    <t xml:space="preserve">Margine stimato (€)</t>
  </si>
  <si>
    <t xml:space="preserve">Margine − costo (€)</t>
  </si>
  <si>
    <t xml:space="preserve">Giudizio</t>
  </si>
  <si>
    <t xml:space="preserve">Costo comune</t>
  </si>
  <si>
    <t xml:space="preserve">Stima senza limite di capacità; nei fogli di scenario gli incarichi in più sono limitati dalle ore disponibili dello studio.</t>
  </si>
  <si>
    <t xml:space="preserve">C. Livelli di presenza a confronto (costo annuo a regime)</t>
  </si>
  <si>
    <t xml:space="preserve">Livello</t>
  </si>
  <si>
    <t xml:space="preserve">Costo in più del solo YouTube (€)</t>
  </si>
  <si>
    <t xml:space="preserve">Incarichi in più necessari all'anno</t>
  </si>
  <si>
    <t xml:space="preserve">Cosa comprende</t>
  </si>
  <si>
    <t xml:space="preserve">A. Solo YouTube</t>
  </si>
  <si>
    <t xml:space="preserve">1 video + 3 Shorts a settimana (piano attuale).</t>
  </si>
  <si>
    <t xml:space="preserve">B. Multicanale (consigliato)</t>
  </si>
  <si>
    <t xml:space="preserve">YouTube + i canali attivi della tabella A, tutti alimentati dagli stessi video.</t>
  </si>
  <si>
    <t xml:space="preserve">C. Primi nella nicchia</t>
  </si>
  <si>
    <t xml:space="preserve">B + 2 video a settimana, pubblicità a pagamento, monitoraggio concorrenti, social manager quasi a metà tempo (stima €70–90.000).</t>
  </si>
  <si>
    <t xml:space="preserve">D. Primi su tutto, con agenzia</t>
  </si>
  <si>
    <t xml:space="preserve">Agenzia completa e pubblicità su tutti i canali (stima da €120.000 in su).</t>
  </si>
  <si>
    <t xml:space="preserve">Scenario Prudente — modello mensile su 36 mesi</t>
  </si>
  <si>
    <t xml:space="preserve">Calcolato dalle ipotesi: non modificare. Valori in euro, al netto di IVA, Cassa Forense e imposte.</t>
  </si>
  <si>
    <t xml:space="preserve">Anno</t>
  </si>
  <si>
    <t xml:space="preserve">Mese calendario</t>
  </si>
  <si>
    <t xml:space="preserve">Stagionalità</t>
  </si>
  <si>
    <t xml:space="preserve">Incarichi richiesti</t>
  </si>
  <si>
    <t xml:space="preserve">Capacità (incarichi)</t>
  </si>
  <si>
    <t xml:space="preserve">Ricavi incarichi (€)</t>
  </si>
  <si>
    <t xml:space="preserve">Ricavi consulenze (€)</t>
  </si>
  <si>
    <t xml:space="preserve">Ricavi convenzioni (€)</t>
  </si>
  <si>
    <t xml:space="preserve">Ricavi formazione (€)</t>
  </si>
  <si>
    <t xml:space="preserve">Tempo avvocato canale (€)</t>
  </si>
  <si>
    <t xml:space="preserve">Margine cumulato (€)</t>
  </si>
  <si>
    <t xml:space="preserve">Cassa cumulata (€)</t>
  </si>
  <si>
    <t xml:space="preserve">Aiuto: mese di pareggio</t>
  </si>
  <si>
    <t xml:space="preserve">Contatti da altri social</t>
  </si>
  <si>
    <t xml:space="preserve">Consulenze da altri social</t>
  </si>
  <si>
    <t xml:space="preserve">Incarichi social richiesti</t>
  </si>
  <si>
    <t xml:space="preserve">Incarichi social acquisiti</t>
  </si>
  <si>
    <t xml:space="preserve">Ricavi da altri social (€)</t>
  </si>
  <si>
    <t xml:space="preserve">Costi social cassa (€)</t>
  </si>
  <si>
    <t xml:space="preserve">Tempo avvocato social (€)</t>
  </si>
  <si>
    <t xml:space="preserve">Costo erogazione social (€)</t>
  </si>
  <si>
    <t xml:space="preserve">Margine altri social (€)</t>
  </si>
  <si>
    <t xml:space="preserve">Margine social cumulato (€)</t>
  </si>
  <si>
    <t xml:space="preserve">Margine totale cumulato (€)</t>
  </si>
  <si>
    <t xml:space="preserve">Incassi da altri social (€)</t>
  </si>
  <si>
    <t xml:space="preserve">Cassa cumulata totale (€)</t>
  </si>
  <si>
    <t xml:space="preserve">Aiuto: pareggio totale</t>
  </si>
  <si>
    <t xml:space="preserve">Totale 36 mesi</t>
  </si>
  <si>
    <t xml:space="preserve">Scenario Medio — modello mensile su 36 mesi</t>
  </si>
  <si>
    <t xml:space="preserve">Scenario Buono — modello mensile su 36 mesi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</si>
</sst>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;\(#,##0.0\);\-"/>
    <numFmt numFmtId="166" formatCode="&quot;€ &quot;#,##0;&quot;(€ &quot;#,##0\);\-"/>
    <numFmt numFmtId="167" formatCode="0.00\x;\(0.00&quot;x)&quot;;\-"/>
    <numFmt numFmtId="168" formatCode="#,##0;\(#,##0\);\-"/>
    <numFmt numFmtId="169" formatCode="#,##0"/>
    <numFmt numFmtId="170" formatCode="0.0%;\(0.0%\);\-"/>
    <numFmt numFmtId="171" formatCode="0.00%;\(0.00%\);\-"/>
    <numFmt numFmtId="172" formatCode="0.00"/>
    <numFmt numFmtId="173" formatCode="#,##0.00;\(#,##0.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  <font>
      <b val="true"/>
      <i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5E5E5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864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Margine cumulato del canale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Riepilogo!B84</c:f>
              <c:strCache>
                <c:ptCount val="1"/>
                <c:pt idx="0">
                  <c:v>Prudente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Riepilogo!$A$85:$A$120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Riepilogo!$B$85:$B$120</c:f>
              <c:numCache>
                <c:formatCode>"€ "#,##0;"(€ "#,##0\);\-</c:formatCode>
                <c:ptCount val="36"/>
                <c:pt idx="0">
                  <c:v>-3827.66923611111</c:v>
                </c:pt>
                <c:pt idx="1">
                  <c:v>-5384.21079166667</c:v>
                </c:pt>
                <c:pt idx="2">
                  <c:v>-6782.33160416667</c:v>
                </c:pt>
                <c:pt idx="3">
                  <c:v>-7925.03938194444</c:v>
                </c:pt>
                <c:pt idx="4">
                  <c:v>-8695.943375</c:v>
                </c:pt>
                <c:pt idx="5">
                  <c:v>-8959.254375</c:v>
                </c:pt>
                <c:pt idx="6">
                  <c:v>-9338.956125</c:v>
                </c:pt>
                <c:pt idx="7">
                  <c:v>-9835.048625</c:v>
                </c:pt>
                <c:pt idx="8">
                  <c:v>-10331.141125</c:v>
                </c:pt>
                <c:pt idx="9">
                  <c:v>-11176.405875</c:v>
                </c:pt>
                <c:pt idx="10">
                  <c:v>-11556.107625</c:v>
                </c:pt>
                <c:pt idx="11">
                  <c:v>-11935.809375</c:v>
                </c:pt>
                <c:pt idx="12">
                  <c:v>-12357.1056540009</c:v>
                </c:pt>
                <c:pt idx="13">
                  <c:v>-13007.5430303645</c:v>
                </c:pt>
                <c:pt idx="14">
                  <c:v>-13510.4677366662</c:v>
                </c:pt>
                <c:pt idx="15">
                  <c:v>-13860.6980181649</c:v>
                </c:pt>
                <c:pt idx="16">
                  <c:v>-14052.9095712093</c:v>
                </c:pt>
                <c:pt idx="17">
                  <c:v>-14081.6320176178</c:v>
                </c:pt>
                <c:pt idx="18">
                  <c:v>-14218.2278693431</c:v>
                </c:pt>
                <c:pt idx="19">
                  <c:v>-14467.3212105968</c:v>
                </c:pt>
                <c:pt idx="20">
                  <c:v>-14689.9328707108</c:v>
                </c:pt>
                <c:pt idx="21">
                  <c:v>-15324.8759268069</c:v>
                </c:pt>
                <c:pt idx="22">
                  <c:v>-15343.8385548161</c:v>
                </c:pt>
                <c:pt idx="23">
                  <c:v>-15332.0001173161</c:v>
                </c:pt>
                <c:pt idx="24">
                  <c:v>-15443.6204660672</c:v>
                </c:pt>
                <c:pt idx="25">
                  <c:v>-15841.6671865216</c:v>
                </c:pt>
                <c:pt idx="26">
                  <c:v>-16055.3230693988</c:v>
                </c:pt>
                <c:pt idx="27">
                  <c:v>-16078.1109212722</c:v>
                </c:pt>
                <c:pt idx="28">
                  <c:v>-15903.3753625776</c:v>
                </c:pt>
                <c:pt idx="29">
                  <c:v>-15524.2784205883</c:v>
                </c:pt>
                <c:pt idx="30">
                  <c:v>-15280.0232352449</c:v>
                </c:pt>
                <c:pt idx="31">
                  <c:v>-15176.389911812</c:v>
                </c:pt>
                <c:pt idx="32">
                  <c:v>-15039.6544869545</c:v>
                </c:pt>
                <c:pt idx="33">
                  <c:v>-15418.3333070746</c:v>
                </c:pt>
                <c:pt idx="34">
                  <c:v>-15027.0365920861</c:v>
                </c:pt>
                <c:pt idx="35">
                  <c:v>-14597.2385452111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Riepilogo!C84</c:f>
              <c:strCache>
                <c:ptCount val="1"/>
                <c:pt idx="0">
                  <c:v>Medio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Riepilogo!$A$85:$A$120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Riepilogo!$C$85:$C$120</c:f>
              <c:numCache>
                <c:formatCode>"€ "#,##0;"(€ "#,##0\);\-</c:formatCode>
                <c:ptCount val="36"/>
                <c:pt idx="0">
                  <c:v>-3680.43</c:v>
                </c:pt>
                <c:pt idx="1">
                  <c:v>-4765.806</c:v>
                </c:pt>
                <c:pt idx="2">
                  <c:v>-4971.289</c:v>
                </c:pt>
                <c:pt idx="3">
                  <c:v>-3758.169</c:v>
                </c:pt>
                <c:pt idx="4">
                  <c:v>-479.994</c:v>
                </c:pt>
                <c:pt idx="5">
                  <c:v>5617.43</c:v>
                </c:pt>
                <c:pt idx="6">
                  <c:v>11068.402</c:v>
                </c:pt>
                <c:pt idx="7">
                  <c:v>15872.922</c:v>
                </c:pt>
                <c:pt idx="8">
                  <c:v>20677.442</c:v>
                </c:pt>
                <c:pt idx="9">
                  <c:v>23542.606</c:v>
                </c:pt>
                <c:pt idx="10">
                  <c:v>28993.578</c:v>
                </c:pt>
                <c:pt idx="11">
                  <c:v>34444.55</c:v>
                </c:pt>
                <c:pt idx="12">
                  <c:v>40232.788080426</c:v>
                </c:pt>
                <c:pt idx="13">
                  <c:v>44789.4434888298</c:v>
                </c:pt>
                <c:pt idx="14">
                  <c:v>50243.5604896399</c:v>
                </c:pt>
                <c:pt idx="15">
                  <c:v>56641.5572250149</c:v>
                </c:pt>
                <c:pt idx="16">
                  <c:v>64031.7660432884</c:v>
                </c:pt>
                <c:pt idx="17">
                  <c:v>72464.5048298952</c:v>
                </c:pt>
                <c:pt idx="18">
                  <c:v>80347.8976137648</c:v>
                </c:pt>
                <c:pt idx="19">
                  <c:v>87642.9449859161</c:v>
                </c:pt>
                <c:pt idx="20">
                  <c:v>95178.4214018156</c:v>
                </c:pt>
                <c:pt idx="21">
                  <c:v>100278.34103798</c:v>
                </c:pt>
                <c:pt idx="22">
                  <c:v>109235.084544193</c:v>
                </c:pt>
                <c:pt idx="23">
                  <c:v>118479.509344193</c:v>
                </c:pt>
                <c:pt idx="24">
                  <c:v>127547.04265679</c:v>
                </c:pt>
                <c:pt idx="25">
                  <c:v>134890.360228555</c:v>
                </c:pt>
                <c:pt idx="26">
                  <c:v>143490.124029689</c:v>
                </c:pt>
                <c:pt idx="27">
                  <c:v>153411.319459214</c:v>
                </c:pt>
                <c:pt idx="28">
                  <c:v>164721.611804797</c:v>
                </c:pt>
                <c:pt idx="29">
                  <c:v>177491.446106046</c:v>
                </c:pt>
                <c:pt idx="30">
                  <c:v>189492.196003464</c:v>
                </c:pt>
                <c:pt idx="31">
                  <c:v>200669.262324476</c:v>
                </c:pt>
                <c:pt idx="32">
                  <c:v>212182.929306735</c:v>
                </c:pt>
                <c:pt idx="33">
                  <c:v>220286.816797364</c:v>
                </c:pt>
                <c:pt idx="34">
                  <c:v>233790.257706064</c:v>
                </c:pt>
                <c:pt idx="35">
                  <c:v>247696.452426064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Riepilogo!D84</c:f>
              <c:strCache>
                <c:ptCount val="1"/>
                <c:pt idx="0">
                  <c:v>Buono</c:v>
                </c:pt>
              </c:strCache>
            </c:strRef>
          </c:tx>
          <c:spPr>
            <a:solidFill>
              <a:srgbClr val="1baf7a"/>
            </a:solidFill>
            <a:ln w="255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Riepilogo!$A$85:$A$120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Riepilogo!$D$85:$D$120</c:f>
              <c:numCache>
                <c:formatCode>"€ "#,##0;"(€ "#,##0\);\-</c:formatCode>
                <c:ptCount val="36"/>
                <c:pt idx="0">
                  <c:v>-3270.7859375</c:v>
                </c:pt>
                <c:pt idx="1">
                  <c:v>-3045.3009375</c:v>
                </c:pt>
                <c:pt idx="2">
                  <c:v>67.3329687499991</c:v>
                </c:pt>
                <c:pt idx="3">
                  <c:v>7834.75796875</c:v>
                </c:pt>
                <c:pt idx="4">
                  <c:v>19843.3859891961</c:v>
                </c:pt>
                <c:pt idx="5">
                  <c:v>32882.3265096422</c:v>
                </c:pt>
                <c:pt idx="6">
                  <c:v>45685.0170300883</c:v>
                </c:pt>
                <c:pt idx="7">
                  <c:v>58251.4575505344</c:v>
                </c:pt>
                <c:pt idx="8">
                  <c:v>70817.8980709805</c:v>
                </c:pt>
                <c:pt idx="9">
                  <c:v>82675.5885914266</c:v>
                </c:pt>
                <c:pt idx="10">
                  <c:v>95478.2791118727</c:v>
                </c:pt>
                <c:pt idx="11">
                  <c:v>108280.969632319</c:v>
                </c:pt>
                <c:pt idx="12">
                  <c:v>124095.621846814</c:v>
                </c:pt>
                <c:pt idx="13">
                  <c:v>139488.720126445</c:v>
                </c:pt>
                <c:pt idx="14">
                  <c:v>155212.764901304</c:v>
                </c:pt>
                <c:pt idx="15">
                  <c:v>171288.114642433</c:v>
                </c:pt>
                <c:pt idx="16">
                  <c:v>187736.13624572</c:v>
                </c:pt>
                <c:pt idx="17">
                  <c:v>204579.250299212</c:v>
                </c:pt>
                <c:pt idx="18">
                  <c:v>221242.398943302</c:v>
                </c:pt>
                <c:pt idx="19">
                  <c:v>237709.112058308</c:v>
                </c:pt>
                <c:pt idx="20">
                  <c:v>254282.214001696</c:v>
                </c:pt>
                <c:pt idx="21">
                  <c:v>269971.70556199</c:v>
                </c:pt>
                <c:pt idx="22">
                  <c:v>287111.280452973</c:v>
                </c:pt>
                <c:pt idx="23">
                  <c:v>304380.36779607</c:v>
                </c:pt>
                <c:pt idx="24">
                  <c:v>322916.864946265</c:v>
                </c:pt>
                <c:pt idx="25">
                  <c:v>340821.031194163</c:v>
                </c:pt>
                <c:pt idx="26">
                  <c:v>359221.617184903</c:v>
                </c:pt>
                <c:pt idx="27">
                  <c:v>378149.160625048</c:v>
                </c:pt>
                <c:pt idx="28">
                  <c:v>397635.711858431</c:v>
                </c:pt>
                <c:pt idx="29">
                  <c:v>417714.90176712</c:v>
                </c:pt>
                <c:pt idx="30">
                  <c:v>437524.143561708</c:v>
                </c:pt>
                <c:pt idx="31">
                  <c:v>457038.732062668</c:v>
                </c:pt>
                <c:pt idx="32">
                  <c:v>476712.903806203</c:v>
                </c:pt>
                <c:pt idx="33">
                  <c:v>495061.659975095</c:v>
                </c:pt>
                <c:pt idx="34">
                  <c:v>515585.541140022</c:v>
                </c:pt>
                <c:pt idx="35">
                  <c:v>536303.690983118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213043"/>
        <c:axId val="97355140"/>
      </c:lineChart>
      <c:catAx>
        <c:axId val="57213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55140"/>
        <c:crosses val="autoZero"/>
        <c:auto val="1"/>
        <c:lblAlgn val="ctr"/>
        <c:lblOffset val="100"/>
        <c:noMultiLvlLbl val="0"/>
      </c:catAx>
      <c:valAx>
        <c:axId val="97355140"/>
        <c:scaling>
          <c:orientation val="minMax"/>
        </c:scaling>
        <c:delete val="0"/>
        <c:axPos val="l"/>
        <c:majorGridlines>
          <c:spPr>
            <a:ln w="9360">
              <a:solidFill>
                <a:srgbClr val="e5e5e5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130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17</xdr:col>
      <xdr:colOff>473040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878760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23.8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/>
      <c r="B10" s="6"/>
    </row>
    <row r="11" customFormat="false" ht="15" hidden="false" customHeight="false" outlineLevel="0" collapsed="false">
      <c r="A11" s="3" t="s">
        <v>13</v>
      </c>
      <c r="B11" s="4"/>
    </row>
    <row r="12" customFormat="false" ht="15" hidden="false" customHeight="false" outlineLevel="0" collapsed="false">
      <c r="A12" s="7" t="s">
        <v>14</v>
      </c>
      <c r="B12" s="6" t="s">
        <v>15</v>
      </c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8" t="s">
        <v>18</v>
      </c>
      <c r="B14" s="6" t="s">
        <v>19</v>
      </c>
    </row>
    <row r="15" customFormat="false" ht="15" hidden="false" customHeight="false" outlineLevel="0" collapsed="false">
      <c r="A15" s="9" t="s">
        <v>20</v>
      </c>
      <c r="B15" s="6" t="s">
        <v>21</v>
      </c>
    </row>
    <row r="16" customFormat="false" ht="15" hidden="false" customHeight="false" outlineLevel="0" collapsed="false">
      <c r="A16" s="5"/>
      <c r="B16" s="6"/>
    </row>
    <row r="17" customFormat="false" ht="15" hidden="false" customHeight="false" outlineLevel="0" collapsed="false">
      <c r="A17" s="3" t="s">
        <v>22</v>
      </c>
      <c r="B17" s="4"/>
    </row>
    <row r="18" customFormat="false" ht="15" hidden="false" customHeight="false" outlineLevel="0" collapsed="false">
      <c r="A18" s="5" t="s">
        <v>23</v>
      </c>
      <c r="B18" s="6" t="s">
        <v>24</v>
      </c>
    </row>
    <row r="19" customFormat="false" ht="15" hidden="false" customHeight="false" outlineLevel="0" collapsed="false">
      <c r="A19" s="5" t="s">
        <v>25</v>
      </c>
      <c r="B19" s="6" t="s">
        <v>26</v>
      </c>
    </row>
    <row r="20" customFormat="false" ht="23.85" hidden="false" customHeight="false" outlineLevel="0" collapsed="false">
      <c r="A20" s="5" t="s">
        <v>27</v>
      </c>
      <c r="B20" s="6" t="s">
        <v>28</v>
      </c>
    </row>
    <row r="21" customFormat="false" ht="15" hidden="false" customHeight="false" outlineLevel="0" collapsed="false">
      <c r="A21" s="5" t="s">
        <v>29</v>
      </c>
      <c r="B21" s="6" t="s">
        <v>30</v>
      </c>
    </row>
    <row r="22" customFormat="false" ht="15" hidden="false" customHeight="false" outlineLevel="0" collapsed="false">
      <c r="A22" s="5" t="s">
        <v>31</v>
      </c>
      <c r="B22" s="6" t="s">
        <v>32</v>
      </c>
    </row>
    <row r="23" customFormat="false" ht="15" hidden="false" customHeight="false" outlineLevel="0" collapsed="false">
      <c r="A23" s="5" t="s">
        <v>33</v>
      </c>
      <c r="B23" s="6" t="s">
        <v>34</v>
      </c>
    </row>
    <row r="24" customFormat="false" ht="15" hidden="false" customHeight="false" outlineLevel="0" collapsed="false">
      <c r="A24" s="5" t="s">
        <v>35</v>
      </c>
      <c r="B24" s="6" t="s">
        <v>36</v>
      </c>
    </row>
    <row r="25" customFormat="false" ht="15" hidden="false" customHeight="false" outlineLevel="0" collapsed="false">
      <c r="A25" s="5"/>
      <c r="B25" s="6"/>
    </row>
    <row r="26" customFormat="false" ht="15" hidden="false" customHeight="false" outlineLevel="0" collapsed="false">
      <c r="A26" s="3" t="s">
        <v>37</v>
      </c>
      <c r="B26" s="4"/>
    </row>
    <row r="27" customFormat="false" ht="23.85" hidden="false" customHeight="false" outlineLevel="0" collapsed="false">
      <c r="A27" s="5" t="s">
        <v>38</v>
      </c>
      <c r="B27" s="6" t="s">
        <v>39</v>
      </c>
    </row>
    <row r="28" customFormat="false" ht="15" hidden="false" customHeight="false" outlineLevel="0" collapsed="false">
      <c r="A28" s="5" t="s">
        <v>38</v>
      </c>
      <c r="B28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4"/>
      <c r="C4" s="4"/>
      <c r="D4" s="4"/>
      <c r="E4" s="4"/>
    </row>
    <row r="5" customFormat="false" ht="15" hidden="false" customHeight="false" outlineLevel="0" collapsed="false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</row>
    <row r="6" customFormat="false" ht="15" hidden="false" customHeight="false" outlineLevel="0" collapsed="false">
      <c r="A6" s="11" t="s">
        <v>49</v>
      </c>
      <c r="B6" s="12" t="n">
        <f aca="false">SUM('Scenario Prudente'!J5:J40)</f>
        <v>30.2821266715225</v>
      </c>
      <c r="C6" s="12" t="n">
        <f aca="false">SUM('Scenario Medio'!J5:J40)</f>
        <v>188.122525129896</v>
      </c>
      <c r="D6" s="12" t="n">
        <f aca="false">SUM('Scenario Buono'!J5:J40)</f>
        <v>323.522773784433</v>
      </c>
      <c r="E6" s="13" t="s">
        <v>50</v>
      </c>
    </row>
    <row r="7" customFormat="false" ht="15" hidden="false" customHeight="false" outlineLevel="0" collapsed="false">
      <c r="A7" s="11" t="s">
        <v>51</v>
      </c>
      <c r="B7" s="12" t="n">
        <f aca="false">SUM('Scenario Prudente'!K5:K40)</f>
        <v>0</v>
      </c>
      <c r="C7" s="12" t="n">
        <f aca="false">SUM('Scenario Medio'!K5:K40)</f>
        <v>0</v>
      </c>
      <c r="D7" s="12" t="n">
        <f aca="false">SUM('Scenario Buono'!K5:K40)</f>
        <v>335.226226914506</v>
      </c>
      <c r="E7" s="13" t="s">
        <v>50</v>
      </c>
    </row>
    <row r="8" customFormat="false" ht="15" hidden="false" customHeight="false" outlineLevel="0" collapsed="false">
      <c r="A8" s="11" t="s">
        <v>52</v>
      </c>
      <c r="B8" s="14" t="n">
        <f aca="false">SUM('Scenario Prudente'!P5:P40)</f>
        <v>64101.7563224001</v>
      </c>
      <c r="C8" s="14" t="n">
        <f aca="false">SUM('Scenario Medio'!P5:P40)</f>
        <v>413370.840314665</v>
      </c>
      <c r="D8" s="14" t="n">
        <f aca="false">SUM('Scenario Buono'!P5:P40)</f>
        <v>777808.067389368</v>
      </c>
      <c r="E8" s="13" t="s">
        <v>53</v>
      </c>
    </row>
    <row r="9" customFormat="false" ht="15" hidden="false" customHeight="false" outlineLevel="0" collapsed="false">
      <c r="A9" s="11" t="s">
        <v>54</v>
      </c>
      <c r="B9" s="14" t="n">
        <f aca="false">SUM('Scenario Prudente'!Q5:R40)</f>
        <v>61960</v>
      </c>
      <c r="C9" s="14" t="n">
        <f aca="false">SUM('Scenario Medio'!Q5:R40)</f>
        <v>61960</v>
      </c>
      <c r="D9" s="14" t="n">
        <f aca="false">SUM('Scenario Buono'!Q5:R40)</f>
        <v>61960</v>
      </c>
      <c r="E9" s="13" t="s">
        <v>53</v>
      </c>
    </row>
    <row r="10" customFormat="false" ht="15" hidden="false" customHeight="false" outlineLevel="0" collapsed="false">
      <c r="A10" s="11" t="s">
        <v>55</v>
      </c>
      <c r="B10" s="14" t="n">
        <f aca="false">SUM('Scenario Prudente'!S5:S40)</f>
        <v>16738.9948676112</v>
      </c>
      <c r="C10" s="14" t="n">
        <f aca="false">SUM('Scenario Medio'!S5:S40)</f>
        <v>103714.387888602</v>
      </c>
      <c r="D10" s="14" t="n">
        <f aca="false">SUM('Scenario Buono'!S5:S40)</f>
        <v>179544.37640625</v>
      </c>
      <c r="E10" s="13" t="s">
        <v>53</v>
      </c>
    </row>
    <row r="11" customFormat="false" ht="15" hidden="false" customHeight="false" outlineLevel="0" collapsed="false">
      <c r="A11" s="15" t="s">
        <v>56</v>
      </c>
      <c r="B11" s="16" t="n">
        <f aca="false">SUM('Scenario Prudente'!T5:T40)</f>
        <v>-14597.2385452111</v>
      </c>
      <c r="C11" s="16" t="n">
        <f aca="false">SUM('Scenario Medio'!T5:T40)</f>
        <v>247696.452426064</v>
      </c>
      <c r="D11" s="16" t="n">
        <f aca="false">SUM('Scenario Buono'!T5:T40)</f>
        <v>536303.690983118</v>
      </c>
      <c r="E11" s="13" t="s">
        <v>53</v>
      </c>
    </row>
    <row r="12" customFormat="false" ht="15" hidden="false" customHeight="false" outlineLevel="0" collapsed="false">
      <c r="A12" s="11" t="s">
        <v>57</v>
      </c>
      <c r="B12" s="17" t="n">
        <f aca="false">IFERROR(B11/B9,0)</f>
        <v>-0.235591325778101</v>
      </c>
      <c r="C12" s="17" t="n">
        <f aca="false">IFERROR(C11/C9,0)</f>
        <v>3.99768322185383</v>
      </c>
      <c r="D12" s="17" t="n">
        <f aca="false">IFERROR(D11/D9,0)</f>
        <v>8.65564381832018</v>
      </c>
      <c r="E12" s="13" t="s">
        <v>58</v>
      </c>
    </row>
    <row r="13" customFormat="false" ht="15" hidden="false" customHeight="false" outlineLevel="0" collapsed="false">
      <c r="A13" s="11" t="s">
        <v>59</v>
      </c>
      <c r="B13" s="18" t="n">
        <f aca="false">IFERROR(B9/B6,0)</f>
        <v>2046.09143446545</v>
      </c>
      <c r="C13" s="18" t="n">
        <f aca="false">IFERROR(C9/C6,0)</f>
        <v>329.359814606026</v>
      </c>
      <c r="D13" s="18" t="n">
        <f aca="false">IFERROR(D9/D6,0)</f>
        <v>191.516656695348</v>
      </c>
      <c r="E13" s="13" t="s">
        <v>60</v>
      </c>
    </row>
    <row r="14" customFormat="false" ht="15" hidden="false" customHeight="false" outlineLevel="0" collapsed="false">
      <c r="A14" s="11" t="s">
        <v>61</v>
      </c>
      <c r="B14" s="19" t="str">
        <f aca="false">IF(MIN('Scenario Prudente'!Y5:Y40)=999,"Oltre 36 mesi",MIN('Scenario Prudente'!Y5:Y40))</f>
        <v>Oltre 36 mesi</v>
      </c>
      <c r="C14" s="19" t="n">
        <f aca="false">IF(MIN('Scenario Medio'!Y5:Y40)=999,"Oltre 36 mesi",MIN('Scenario Medio'!Y5:Y40))</f>
        <v>6</v>
      </c>
      <c r="D14" s="19" t="n">
        <f aca="false">IF(MIN('Scenario Buono'!Y5:Y40)=999,"Oltre 36 mesi",MIN('Scenario Buono'!Y5:Y40))</f>
        <v>3</v>
      </c>
      <c r="E14" s="13" t="s">
        <v>62</v>
      </c>
    </row>
    <row r="15" customFormat="false" ht="15" hidden="false" customHeight="false" outlineLevel="0" collapsed="false">
      <c r="A15" s="11" t="s">
        <v>63</v>
      </c>
      <c r="B15" s="14" t="n">
        <f aca="false">'Scenario Prudente'!X40</f>
        <v>15827.5082815907</v>
      </c>
      <c r="C15" s="14" t="n">
        <f aca="false">'Scenario Medio'!X40</f>
        <v>236883.949246684</v>
      </c>
      <c r="D15" s="14" t="n">
        <f aca="false">'Scenario Buono'!X40</f>
        <v>512438.251652575</v>
      </c>
      <c r="E15" s="13" t="s">
        <v>53</v>
      </c>
    </row>
    <row r="17" customFormat="false" ht="15" hidden="false" customHeight="false" outlineLevel="0" collapsed="false">
      <c r="A17" s="11" t="s">
        <v>64</v>
      </c>
      <c r="B17" s="20" t="n">
        <f aca="false">IFERROR((SUMIFS('Scenario Prudente'!Q5:Q40,'Scenario Prudente'!B5:B40,1)+SUMIFS('Scenario Prudente'!R5:R40,'Scenario Prudente'!B5:B40,1))/Ipotesi!$B$41,0)</f>
        <v>15.4712362301102</v>
      </c>
      <c r="C17" s="20" t="n">
        <f aca="false">IFERROR((SUMIFS('Scenario Medio'!Q5:Q40,'Scenario Medio'!B5:B40,1)+SUMIFS('Scenario Medio'!R5:R40,'Scenario Medio'!B5:B40,1))/Ipotesi!$B$41,0)</f>
        <v>15.4712362301102</v>
      </c>
      <c r="D17" s="20" t="n">
        <f aca="false">IFERROR((SUMIFS('Scenario Buono'!Q5:Q40,'Scenario Buono'!B5:B40,1)+SUMIFS('Scenario Buono'!R5:R40,'Scenario Buono'!B5:B40,1))/Ipotesi!$B$41,0)</f>
        <v>15.4712362301102</v>
      </c>
      <c r="E17" s="13" t="s">
        <v>65</v>
      </c>
    </row>
    <row r="18" customFormat="false" ht="15" hidden="false" customHeight="false" outlineLevel="0" collapsed="false">
      <c r="A18" s="11" t="s">
        <v>66</v>
      </c>
      <c r="B18" s="20" t="n">
        <f aca="false">IFERROR((SUMIFS('Scenario Prudente'!Q5:Q40,'Scenario Prudente'!B5:B40,1)+SUMIFS('Scenario Prudente'!R5:R40,'Scenario Prudente'!B5:B40,1))/Ipotesi!$B$37,0)</f>
        <v>10.8697788697789</v>
      </c>
      <c r="C18" s="20" t="n">
        <f aca="false">IFERROR((SUMIFS('Scenario Medio'!Q5:Q40,'Scenario Medio'!B5:B40,1)+SUMIFS('Scenario Medio'!R5:R40,'Scenario Medio'!B5:B40,1))/Ipotesi!$B$37,0)</f>
        <v>10.8697788697789</v>
      </c>
      <c r="D18" s="20" t="n">
        <f aca="false">IFERROR((SUMIFS('Scenario Buono'!Q5:Q40,'Scenario Buono'!B5:B40,1)+SUMIFS('Scenario Buono'!R5:R40,'Scenario Buono'!B5:B40,1))/Ipotesi!$B$37,0)</f>
        <v>10.8697788697789</v>
      </c>
      <c r="E18" s="13" t="s">
        <v>67</v>
      </c>
    </row>
    <row r="20" customFormat="false" ht="15" hidden="false" customHeight="false" outlineLevel="0" collapsed="false">
      <c r="A20" s="3" t="s">
        <v>68</v>
      </c>
      <c r="B20" s="4"/>
      <c r="C20" s="4"/>
      <c r="D20" s="4"/>
      <c r="E20" s="4"/>
    </row>
    <row r="21" customFormat="false" ht="15" hidden="false" customHeight="false" outlineLevel="0" collapsed="false">
      <c r="A21" s="10" t="s">
        <v>69</v>
      </c>
      <c r="B21" s="10" t="s">
        <v>70</v>
      </c>
      <c r="C21" s="10" t="s">
        <v>71</v>
      </c>
      <c r="D21" s="10" t="s">
        <v>72</v>
      </c>
      <c r="E21" s="10" t="s">
        <v>73</v>
      </c>
    </row>
    <row r="22" customFormat="false" ht="15" hidden="false" customHeight="false" outlineLevel="0" collapsed="false">
      <c r="A22" s="11" t="s">
        <v>74</v>
      </c>
      <c r="B22" s="19" t="n">
        <f aca="false">SUMIFS('Scenario Prudente'!E5:E40,'Scenario Prudente'!B5:B40,1)</f>
        <v>17500</v>
      </c>
      <c r="C22" s="19" t="n">
        <f aca="false">SUMIFS('Scenario Prudente'!E5:E40,'Scenario Prudente'!B5:B40,2)</f>
        <v>27179.9442095498</v>
      </c>
      <c r="D22" s="19" t="n">
        <f aca="false">SUMIFS('Scenario Prudente'!E5:E40,'Scenario Prudente'!B5:B40,3)</f>
        <v>33974.9302619372</v>
      </c>
      <c r="E22" s="21" t="n">
        <f aca="false">SUM(B22:D22)</f>
        <v>78654.874471487</v>
      </c>
    </row>
    <row r="23" customFormat="false" ht="15" hidden="false" customHeight="false" outlineLevel="0" collapsed="false">
      <c r="A23" s="11" t="s">
        <v>75</v>
      </c>
      <c r="B23" s="12" t="n">
        <f aca="false">SUMIFS('Scenario Prudente'!F5:F40,'Scenario Prudente'!B5:B40,1)</f>
        <v>35</v>
      </c>
      <c r="C23" s="12" t="n">
        <f aca="false">SUMIFS('Scenario Prudente'!F5:F40,'Scenario Prudente'!B5:B40,2)</f>
        <v>54.3598884190995</v>
      </c>
      <c r="D23" s="12" t="n">
        <f aca="false">SUMIFS('Scenario Prudente'!F5:F40,'Scenario Prudente'!B5:B40,3)</f>
        <v>67.9498605238744</v>
      </c>
      <c r="E23" s="22" t="n">
        <f aca="false">SUM(B23:D23)</f>
        <v>157.309748942974</v>
      </c>
    </row>
    <row r="24" customFormat="false" ht="15" hidden="false" customHeight="false" outlineLevel="0" collapsed="false">
      <c r="A24" s="11" t="s">
        <v>76</v>
      </c>
      <c r="B24" s="12" t="n">
        <f aca="false">SUMIFS('Scenario Prudente'!G5:G40,'Scenario Prudente'!B5:B40,1)</f>
        <v>12.25</v>
      </c>
      <c r="C24" s="12" t="n">
        <f aca="false">SUMIFS('Scenario Prudente'!G5:G40,'Scenario Prudente'!B5:B40,2)</f>
        <v>19.0259609466848</v>
      </c>
      <c r="D24" s="12" t="n">
        <f aca="false">SUMIFS('Scenario Prudente'!G5:G40,'Scenario Prudente'!B5:B40,3)</f>
        <v>23.7824511833561</v>
      </c>
      <c r="E24" s="22" t="n">
        <f aca="false">SUM(B24:D24)</f>
        <v>55.0584121300409</v>
      </c>
    </row>
    <row r="25" customFormat="false" ht="15" hidden="false" customHeight="false" outlineLevel="0" collapsed="false">
      <c r="A25" s="11" t="s">
        <v>49</v>
      </c>
      <c r="B25" s="12" t="n">
        <f aca="false">SUMIFS('Scenario Prudente'!J5:J40,'Scenario Prudente'!B5:B40,1)</f>
        <v>6.7375</v>
      </c>
      <c r="C25" s="12" t="n">
        <f aca="false">SUMIFS('Scenario Prudente'!J5:J40,'Scenario Prudente'!B5:B40,2)</f>
        <v>10.4642785206767</v>
      </c>
      <c r="D25" s="12" t="n">
        <f aca="false">SUMIFS('Scenario Prudente'!J5:J40,'Scenario Prudente'!B5:B40,3)</f>
        <v>13.0803481508458</v>
      </c>
      <c r="E25" s="22" t="n">
        <f aca="false">SUM(B25:D25)</f>
        <v>30.2821266715225</v>
      </c>
    </row>
    <row r="26" customFormat="false" ht="15" hidden="false" customHeight="false" outlineLevel="0" collapsed="false">
      <c r="A26" s="11" t="s">
        <v>77</v>
      </c>
      <c r="B26" s="12" t="n">
        <f aca="false">SUMIFS('Scenario Prudente'!K5:K40,'Scenario Prudente'!B5:B40,1)</f>
        <v>0</v>
      </c>
      <c r="C26" s="12" t="n">
        <f aca="false">SUMIFS('Scenario Prudente'!K5:K40,'Scenario Prudente'!B5:B40,2)</f>
        <v>0</v>
      </c>
      <c r="D26" s="12" t="n">
        <f aca="false">SUMIFS('Scenario Prudente'!K5:K40,'Scenario Prudente'!B5:B40,3)</f>
        <v>0</v>
      </c>
      <c r="E26" s="22" t="n">
        <f aca="false">SUM(B26:D26)</f>
        <v>0</v>
      </c>
    </row>
    <row r="27" customFormat="false" ht="15" hidden="false" customHeight="false" outlineLevel="0" collapsed="false">
      <c r="A27" s="11" t="s">
        <v>78</v>
      </c>
      <c r="B27" s="14" t="n">
        <f aca="false">SUMIFS('Scenario Prudente'!P5:P40,'Scenario Prudente'!B5:B40,1)</f>
        <v>14262.0625</v>
      </c>
      <c r="C27" s="14" t="n">
        <f aca="false">SUMIFS('Scenario Prudente'!P5:P40,'Scenario Prudente'!B5:B40,2)</f>
        <v>22150.9750321778</v>
      </c>
      <c r="D27" s="14" t="n">
        <f aca="false">SUMIFS('Scenario Prudente'!P5:P40,'Scenario Prudente'!B5:B40,3)</f>
        <v>27688.7187902223</v>
      </c>
      <c r="E27" s="23" t="n">
        <f aca="false">SUM(B27:D27)</f>
        <v>64101.7563224001</v>
      </c>
    </row>
    <row r="28" customFormat="false" ht="15" hidden="false" customHeight="false" outlineLevel="0" collapsed="false">
      <c r="A28" s="11" t="s">
        <v>79</v>
      </c>
      <c r="B28" s="14" t="n">
        <f aca="false">SUMIFS('Scenario Prudente'!Q5:Q40,'Scenario Prudente'!B5:B40,1)</f>
        <v>9640</v>
      </c>
      <c r="C28" s="14" t="n">
        <f aca="false">SUMIFS('Scenario Prudente'!Q5:Q40,'Scenario Prudente'!B5:B40,2)</f>
        <v>7440</v>
      </c>
      <c r="D28" s="14" t="n">
        <f aca="false">SUMIFS('Scenario Prudente'!Q5:Q40,'Scenario Prudente'!B5:B40,3)</f>
        <v>7440</v>
      </c>
      <c r="E28" s="23" t="n">
        <f aca="false">SUM(B28:D28)</f>
        <v>24520</v>
      </c>
    </row>
    <row r="29" customFormat="false" ht="15" hidden="false" customHeight="false" outlineLevel="0" collapsed="false">
      <c r="A29" s="11" t="s">
        <v>80</v>
      </c>
      <c r="B29" s="14" t="n">
        <f aca="false">SUMIFS('Scenario Prudente'!R5:R40,'Scenario Prudente'!B5:B40,1)</f>
        <v>12480</v>
      </c>
      <c r="C29" s="14" t="n">
        <f aca="false">SUMIFS('Scenario Prudente'!R5:R40,'Scenario Prudente'!B5:B40,2)</f>
        <v>12480</v>
      </c>
      <c r="D29" s="14" t="n">
        <f aca="false">SUMIFS('Scenario Prudente'!R5:R40,'Scenario Prudente'!B5:B40,3)</f>
        <v>12480</v>
      </c>
      <c r="E29" s="23" t="n">
        <f aca="false">SUM(B29:D29)</f>
        <v>37440</v>
      </c>
    </row>
    <row r="30" customFormat="false" ht="15" hidden="false" customHeight="false" outlineLevel="0" collapsed="false">
      <c r="A30" s="11" t="s">
        <v>81</v>
      </c>
      <c r="B30" s="14" t="n">
        <f aca="false">SUMIFS('Scenario Prudente'!S5:S40,'Scenario Prudente'!B5:B40,1)</f>
        <v>4077.871875</v>
      </c>
      <c r="C30" s="14" t="n">
        <f aca="false">SUMIFS('Scenario Prudente'!S5:S40,'Scenario Prudente'!B5:B40,2)</f>
        <v>5627.16577449388</v>
      </c>
      <c r="D30" s="14" t="n">
        <f aca="false">SUMIFS('Scenario Prudente'!S5:S40,'Scenario Prudente'!B5:B40,3)</f>
        <v>7033.95721811734</v>
      </c>
      <c r="E30" s="23" t="n">
        <f aca="false">SUM(B30:D30)</f>
        <v>16738.9948676112</v>
      </c>
    </row>
    <row r="31" customFormat="false" ht="15" hidden="false" customHeight="false" outlineLevel="0" collapsed="false">
      <c r="A31" s="11" t="s">
        <v>82</v>
      </c>
      <c r="B31" s="14" t="n">
        <f aca="false">SUMIFS('Scenario Prudente'!T5:T40,'Scenario Prudente'!B5:B40,1)</f>
        <v>-11935.809375</v>
      </c>
      <c r="C31" s="14" t="n">
        <f aca="false">SUMIFS('Scenario Prudente'!T5:T40,'Scenario Prudente'!B5:B40,2)</f>
        <v>-3396.19074231605</v>
      </c>
      <c r="D31" s="14" t="n">
        <f aca="false">SUMIFS('Scenario Prudente'!T5:T40,'Scenario Prudente'!B5:B40,3)</f>
        <v>734.761572104936</v>
      </c>
      <c r="E31" s="23" t="n">
        <f aca="false">SUM(B31:D31)</f>
        <v>-14597.2385452111</v>
      </c>
    </row>
    <row r="32" customFormat="false" ht="15" hidden="false" customHeight="false" outlineLevel="0" collapsed="false">
      <c r="A32" s="11" t="s">
        <v>83</v>
      </c>
      <c r="B32" s="14" t="n">
        <f aca="false">SUMIFS('Scenario Prudente'!V5:V40,'Scenario Prudente'!B5:B40,1)</f>
        <v>9561.2125</v>
      </c>
      <c r="C32" s="14" t="n">
        <f aca="false">SUMIFS('Scenario Prudente'!V5:V40,'Scenario Prudente'!B5:B40,2)</f>
        <v>21239.6224936193</v>
      </c>
      <c r="D32" s="14" t="n">
        <f aca="false">SUMIFS('Scenario Prudente'!V5:V40,'Scenario Prudente'!B5:B40,3)</f>
        <v>26285.6681555826</v>
      </c>
      <c r="E32" s="23" t="n">
        <f aca="false">SUM(B32:D32)</f>
        <v>57086.5031492019</v>
      </c>
    </row>
    <row r="33" customFormat="false" ht="15" hidden="false" customHeight="false" outlineLevel="0" collapsed="false">
      <c r="A33" s="11" t="s">
        <v>84</v>
      </c>
      <c r="B33" s="14" t="n">
        <f aca="false">SUMIFS('Scenario Prudente'!W5:W40,'Scenario Prudente'!B5:B40,1)</f>
        <v>-4156.659375</v>
      </c>
      <c r="C33" s="14" t="n">
        <f aca="false">SUMIFS('Scenario Prudente'!W5:W40,'Scenario Prudente'!B5:B40,2)</f>
        <v>8172.45671912538</v>
      </c>
      <c r="D33" s="14" t="n">
        <f aca="false">SUMIFS('Scenario Prudente'!W5:W40,'Scenario Prudente'!B5:B40,3)</f>
        <v>11811.7109374653</v>
      </c>
      <c r="E33" s="23" t="n">
        <f aca="false">SUM(B33:D33)</f>
        <v>15827.5082815907</v>
      </c>
    </row>
    <row r="34" customFormat="false" ht="15" hidden="false" customHeight="false" outlineLevel="0" collapsed="false">
      <c r="A34" s="5" t="s">
        <v>85</v>
      </c>
      <c r="B34" s="24" t="n">
        <f aca="false">IFERROR(B31/(B28+B29),0)</f>
        <v>-0.53959355221519</v>
      </c>
      <c r="C34" s="24" t="n">
        <f aca="false">IFERROR(C31/(C28+C29),0)</f>
        <v>-0.170491503128316</v>
      </c>
      <c r="D34" s="24" t="n">
        <f aca="false">IFERROR(D31/(D28+D29),0)</f>
        <v>0.0368856210896052</v>
      </c>
      <c r="E34" s="24" t="n">
        <f aca="false">IFERROR(E31/(E28+E29),0)</f>
        <v>-0.235591325778101</v>
      </c>
    </row>
    <row r="36" customFormat="false" ht="15" hidden="false" customHeight="false" outlineLevel="0" collapsed="false">
      <c r="A36" s="10" t="s">
        <v>86</v>
      </c>
      <c r="B36" s="10" t="s">
        <v>70</v>
      </c>
      <c r="C36" s="10" t="s">
        <v>71</v>
      </c>
      <c r="D36" s="10" t="s">
        <v>72</v>
      </c>
      <c r="E36" s="10" t="s">
        <v>73</v>
      </c>
    </row>
    <row r="37" customFormat="false" ht="15" hidden="false" customHeight="false" outlineLevel="0" collapsed="false">
      <c r="A37" s="11" t="s">
        <v>74</v>
      </c>
      <c r="B37" s="19" t="n">
        <f aca="false">SUMIFS('Scenario Medio'!E5:E40,'Scenario Medio'!B5:B40,1)</f>
        <v>52500</v>
      </c>
      <c r="C37" s="19" t="n">
        <f aca="false">SUMIFS('Scenario Medio'!E5:E40,'Scenario Medio'!B5:B40,2)</f>
        <v>86992.202042764</v>
      </c>
      <c r="D37" s="19" t="n">
        <f aca="false">SUMIFS('Scenario Medio'!E5:E40,'Scenario Medio'!B5:B40,3)</f>
        <v>121789.08285987</v>
      </c>
      <c r="E37" s="21" t="n">
        <f aca="false">SUM(B37:D37)</f>
        <v>261281.284902634</v>
      </c>
    </row>
    <row r="38" customFormat="false" ht="15" hidden="false" customHeight="false" outlineLevel="0" collapsed="false">
      <c r="A38" s="11" t="s">
        <v>75</v>
      </c>
      <c r="B38" s="12" t="n">
        <f aca="false">SUMIFS('Scenario Medio'!F5:F40,'Scenario Medio'!B5:B40,1)</f>
        <v>157.5</v>
      </c>
      <c r="C38" s="12" t="n">
        <f aca="false">SUMIFS('Scenario Medio'!F5:F40,'Scenario Medio'!B5:B40,2)</f>
        <v>260.976606128292</v>
      </c>
      <c r="D38" s="12" t="n">
        <f aca="false">SUMIFS('Scenario Medio'!F5:F40,'Scenario Medio'!B5:B40,3)</f>
        <v>365.367248579609</v>
      </c>
      <c r="E38" s="22" t="n">
        <f aca="false">SUM(B38:D38)</f>
        <v>783.843854707901</v>
      </c>
    </row>
    <row r="39" customFormat="false" ht="15" hidden="false" customHeight="false" outlineLevel="0" collapsed="false">
      <c r="A39" s="11" t="s">
        <v>76</v>
      </c>
      <c r="B39" s="12" t="n">
        <f aca="false">SUMIFS('Scenario Medio'!G5:G40,'Scenario Medio'!B5:B40,1)</f>
        <v>63</v>
      </c>
      <c r="C39" s="12" t="n">
        <f aca="false">SUMIFS('Scenario Medio'!G5:G40,'Scenario Medio'!B5:B40,2)</f>
        <v>104.390642451317</v>
      </c>
      <c r="D39" s="12" t="n">
        <f aca="false">SUMIFS('Scenario Medio'!G5:G40,'Scenario Medio'!B5:B40,3)</f>
        <v>146.146899431844</v>
      </c>
      <c r="E39" s="22" t="n">
        <f aca="false">SUM(B39:D39)</f>
        <v>313.53754188316</v>
      </c>
    </row>
    <row r="40" customFormat="false" ht="15" hidden="false" customHeight="false" outlineLevel="0" collapsed="false">
      <c r="A40" s="11" t="s">
        <v>49</v>
      </c>
      <c r="B40" s="12" t="n">
        <f aca="false">SUMIFS('Scenario Medio'!J5:J40,'Scenario Medio'!B5:B40,1)</f>
        <v>37.8</v>
      </c>
      <c r="C40" s="12" t="n">
        <f aca="false">SUMIFS('Scenario Medio'!J5:J40,'Scenario Medio'!B5:B40,2)</f>
        <v>62.6343854707901</v>
      </c>
      <c r="D40" s="12" t="n">
        <f aca="false">SUMIFS('Scenario Medio'!J5:J40,'Scenario Medio'!B5:B40,3)</f>
        <v>87.6881396591061</v>
      </c>
      <c r="E40" s="22" t="n">
        <f aca="false">SUM(B40:D40)</f>
        <v>188.122525129896</v>
      </c>
    </row>
    <row r="41" customFormat="false" ht="15" hidden="false" customHeight="false" outlineLevel="0" collapsed="false">
      <c r="A41" s="11" t="s">
        <v>77</v>
      </c>
      <c r="B41" s="12" t="n">
        <f aca="false">SUMIFS('Scenario Medio'!K5:K40,'Scenario Medio'!B5:B40,1)</f>
        <v>0</v>
      </c>
      <c r="C41" s="12" t="n">
        <f aca="false">SUMIFS('Scenario Medio'!K5:K40,'Scenario Medio'!B5:B40,2)</f>
        <v>0</v>
      </c>
      <c r="D41" s="12" t="n">
        <f aca="false">SUMIFS('Scenario Medio'!K5:K40,'Scenario Medio'!B5:B40,3)</f>
        <v>0</v>
      </c>
      <c r="E41" s="22" t="n">
        <f aca="false">SUM(B41:D41)</f>
        <v>0</v>
      </c>
    </row>
    <row r="42" customFormat="false" ht="15" hidden="false" customHeight="false" outlineLevel="0" collapsed="false">
      <c r="A42" s="11" t="s">
        <v>78</v>
      </c>
      <c r="B42" s="14" t="n">
        <f aca="false">SUMIFS('Scenario Medio'!P5:P40,'Scenario Medio'!B5:B40,1)</f>
        <v>79443</v>
      </c>
      <c r="C42" s="14" t="n">
        <f aca="false">SUMIFS('Scenario Medio'!P5:P40,'Scenario Medio'!B5:B40,2)</f>
        <v>137636.600131111</v>
      </c>
      <c r="D42" s="14" t="n">
        <f aca="false">SUMIFS('Scenario Medio'!P5:P40,'Scenario Medio'!B5:B40,3)</f>
        <v>196291.240183555</v>
      </c>
      <c r="E42" s="23" t="n">
        <f aca="false">SUM(B42:D42)</f>
        <v>413370.840314665</v>
      </c>
    </row>
    <row r="43" customFormat="false" ht="15" hidden="false" customHeight="false" outlineLevel="0" collapsed="false">
      <c r="A43" s="11" t="s">
        <v>79</v>
      </c>
      <c r="B43" s="14" t="n">
        <f aca="false">SUMIFS('Scenario Medio'!Q5:Q40,'Scenario Medio'!B5:B40,1)</f>
        <v>9640</v>
      </c>
      <c r="C43" s="14" t="n">
        <f aca="false">SUMIFS('Scenario Medio'!Q5:Q40,'Scenario Medio'!B5:B40,2)</f>
        <v>7440</v>
      </c>
      <c r="D43" s="14" t="n">
        <f aca="false">SUMIFS('Scenario Medio'!Q5:Q40,'Scenario Medio'!B5:B40,3)</f>
        <v>7440</v>
      </c>
      <c r="E43" s="23" t="n">
        <f aca="false">SUM(B43:D43)</f>
        <v>24520</v>
      </c>
    </row>
    <row r="44" customFormat="false" ht="15" hidden="false" customHeight="false" outlineLevel="0" collapsed="false">
      <c r="A44" s="11" t="s">
        <v>80</v>
      </c>
      <c r="B44" s="14" t="n">
        <f aca="false">SUMIFS('Scenario Medio'!R5:R40,'Scenario Medio'!B5:B40,1)</f>
        <v>12480</v>
      </c>
      <c r="C44" s="14" t="n">
        <f aca="false">SUMIFS('Scenario Medio'!R5:R40,'Scenario Medio'!B5:B40,2)</f>
        <v>12480</v>
      </c>
      <c r="D44" s="14" t="n">
        <f aca="false">SUMIFS('Scenario Medio'!R5:R40,'Scenario Medio'!B5:B40,3)</f>
        <v>12480</v>
      </c>
      <c r="E44" s="23" t="n">
        <f aca="false">SUM(B44:D44)</f>
        <v>37440</v>
      </c>
    </row>
    <row r="45" customFormat="false" ht="15" hidden="false" customHeight="false" outlineLevel="0" collapsed="false">
      <c r="A45" s="11" t="s">
        <v>81</v>
      </c>
      <c r="B45" s="14" t="n">
        <f aca="false">SUMIFS('Scenario Medio'!S5:S40,'Scenario Medio'!B5:B40,1)</f>
        <v>22878.45</v>
      </c>
      <c r="C45" s="14" t="n">
        <f aca="false">SUMIFS('Scenario Medio'!S5:S40,'Scenario Medio'!B5:B40,2)</f>
        <v>33681.6407869174</v>
      </c>
      <c r="D45" s="14" t="n">
        <f aca="false">SUMIFS('Scenario Medio'!S5:S40,'Scenario Medio'!B5:B40,3)</f>
        <v>47154.2971016843</v>
      </c>
      <c r="E45" s="23" t="n">
        <f aca="false">SUM(B45:D45)</f>
        <v>103714.387888602</v>
      </c>
    </row>
    <row r="46" customFormat="false" ht="15" hidden="false" customHeight="false" outlineLevel="0" collapsed="false">
      <c r="A46" s="11" t="s">
        <v>82</v>
      </c>
      <c r="B46" s="14" t="n">
        <f aca="false">SUMIFS('Scenario Medio'!T5:T40,'Scenario Medio'!B5:B40,1)</f>
        <v>34444.55</v>
      </c>
      <c r="C46" s="14" t="n">
        <f aca="false">SUMIFS('Scenario Medio'!T5:T40,'Scenario Medio'!B5:B40,2)</f>
        <v>84034.9593441932</v>
      </c>
      <c r="D46" s="14" t="n">
        <f aca="false">SUMIFS('Scenario Medio'!T5:T40,'Scenario Medio'!B5:B40,3)</f>
        <v>129216.94308187</v>
      </c>
      <c r="E46" s="23" t="n">
        <f aca="false">SUM(B46:D46)</f>
        <v>247696.452426064</v>
      </c>
    </row>
    <row r="47" customFormat="false" ht="15" hidden="false" customHeight="false" outlineLevel="0" collapsed="false">
      <c r="A47" s="11" t="s">
        <v>83</v>
      </c>
      <c r="B47" s="14" t="n">
        <f aca="false">SUMIFS('Scenario Medio'!V5:V40,'Scenario Medio'!B5:B40,1)</f>
        <v>53069.4</v>
      </c>
      <c r="C47" s="14" t="n">
        <f aca="false">SUMIFS('Scenario Medio'!V5:V40,'Scenario Medio'!B5:B40,2)</f>
        <v>129544.126431554</v>
      </c>
      <c r="D47" s="14" t="n">
        <f aca="false">SUMIFS('Scenario Medio'!V5:V40,'Scenario Medio'!B5:B40,3)</f>
        <v>182504.810703732</v>
      </c>
      <c r="E47" s="23" t="n">
        <f aca="false">SUM(B47:D47)</f>
        <v>365118.337135286</v>
      </c>
    </row>
    <row r="48" customFormat="false" ht="15" hidden="false" customHeight="false" outlineLevel="0" collapsed="false">
      <c r="A48" s="11" t="s">
        <v>84</v>
      </c>
      <c r="B48" s="14" t="n">
        <f aca="false">SUMIFS('Scenario Medio'!W5:W40,'Scenario Medio'!B5:B40,1)</f>
        <v>20550.95</v>
      </c>
      <c r="C48" s="14" t="n">
        <f aca="false">SUMIFS('Scenario Medio'!W5:W40,'Scenario Medio'!B5:B40,2)</f>
        <v>88422.4856446366</v>
      </c>
      <c r="D48" s="14" t="n">
        <f aca="false">SUMIFS('Scenario Medio'!W5:W40,'Scenario Medio'!B5:B40,3)</f>
        <v>127910.513602048</v>
      </c>
      <c r="E48" s="23" t="n">
        <f aca="false">SUM(B48:D48)</f>
        <v>236883.949246684</v>
      </c>
    </row>
    <row r="49" customFormat="false" ht="15" hidden="false" customHeight="false" outlineLevel="0" collapsed="false">
      <c r="A49" s="5" t="s">
        <v>85</v>
      </c>
      <c r="B49" s="24" t="n">
        <f aca="false">IFERROR(B46/(B43+B44),0)</f>
        <v>1.55716772151899</v>
      </c>
      <c r="C49" s="24" t="n">
        <f aca="false">IFERROR(C46/(C43+C44),0)</f>
        <v>4.21862245703781</v>
      </c>
      <c r="D49" s="24" t="n">
        <f aca="false">IFERROR(D46/(D43+D44),0)</f>
        <v>6.4867943314192</v>
      </c>
      <c r="E49" s="24" t="n">
        <f aca="false">IFERROR(E46/(E43+E44),0)</f>
        <v>3.99768322185383</v>
      </c>
    </row>
    <row r="51" customFormat="false" ht="15" hidden="false" customHeight="false" outlineLevel="0" collapsed="false">
      <c r="A51" s="10" t="s">
        <v>87</v>
      </c>
      <c r="B51" s="10" t="s">
        <v>70</v>
      </c>
      <c r="C51" s="10" t="s">
        <v>71</v>
      </c>
      <c r="D51" s="10" t="s">
        <v>72</v>
      </c>
      <c r="E51" s="10" t="s">
        <v>73</v>
      </c>
    </row>
    <row r="52" customFormat="false" ht="15" hidden="false" customHeight="false" outlineLevel="0" collapsed="false">
      <c r="A52" s="11" t="s">
        <v>74</v>
      </c>
      <c r="B52" s="19" t="n">
        <f aca="false">SUMIFS('Scenario Buono'!E5:E40,'Scenario Buono'!B5:B40,1)</f>
        <v>131250</v>
      </c>
      <c r="C52" s="19" t="n">
        <f aca="false">SUMIFS('Scenario Buono'!E5:E40,'Scenario Buono'!B5:B40,2)</f>
        <v>226335.555851403</v>
      </c>
      <c r="D52" s="19" t="n">
        <f aca="false">SUMIFS('Scenario Buono'!E5:E40,'Scenario Buono'!B5:B40,3)</f>
        <v>339503.333777104</v>
      </c>
      <c r="E52" s="21" t="n">
        <f aca="false">SUM(B52:D52)</f>
        <v>697088.889628507</v>
      </c>
    </row>
    <row r="53" customFormat="false" ht="15" hidden="false" customHeight="false" outlineLevel="0" collapsed="false">
      <c r="A53" s="11" t="s">
        <v>75</v>
      </c>
      <c r="B53" s="12" t="n">
        <f aca="false">SUMIFS('Scenario Buono'!F5:F40,'Scenario Buono'!B5:B40,1)</f>
        <v>459.375</v>
      </c>
      <c r="C53" s="12" t="n">
        <f aca="false">SUMIFS('Scenario Buono'!F5:F40,'Scenario Buono'!B5:B40,2)</f>
        <v>792.17444547991</v>
      </c>
      <c r="D53" s="12" t="n">
        <f aca="false">SUMIFS('Scenario Buono'!F5:F40,'Scenario Buono'!B5:B40,3)</f>
        <v>1188.26166821987</v>
      </c>
      <c r="E53" s="22" t="n">
        <f aca="false">SUM(B53:D53)</f>
        <v>2439.81111369978</v>
      </c>
    </row>
    <row r="54" customFormat="false" ht="15" hidden="false" customHeight="false" outlineLevel="0" collapsed="false">
      <c r="A54" s="11" t="s">
        <v>76</v>
      </c>
      <c r="B54" s="12" t="n">
        <f aca="false">SUMIFS('Scenario Buono'!G5:G40,'Scenario Buono'!B5:B40,1)</f>
        <v>206.71875</v>
      </c>
      <c r="C54" s="12" t="n">
        <f aca="false">SUMIFS('Scenario Buono'!G5:G40,'Scenario Buono'!B5:B40,2)</f>
        <v>356.47850046596</v>
      </c>
      <c r="D54" s="12" t="n">
        <f aca="false">SUMIFS('Scenario Buono'!G5:G40,'Scenario Buono'!B5:B40,3)</f>
        <v>534.717750698939</v>
      </c>
      <c r="E54" s="22" t="n">
        <f aca="false">SUM(B54:D54)</f>
        <v>1097.9150011649</v>
      </c>
    </row>
    <row r="55" customFormat="false" ht="15" hidden="false" customHeight="false" outlineLevel="0" collapsed="false">
      <c r="A55" s="11" t="s">
        <v>49</v>
      </c>
      <c r="B55" s="12" t="n">
        <f aca="false">SUMIFS('Scenario Buono'!J5:J40,'Scenario Buono'!B5:B40,1)</f>
        <v>82.5185896840149</v>
      </c>
      <c r="C55" s="12" t="n">
        <f aca="false">SUMIFS('Scenario Buono'!J5:J40,'Scenario Buono'!B5:B40,2)</f>
        <v>120.502092050209</v>
      </c>
      <c r="D55" s="12" t="n">
        <f aca="false">SUMIFS('Scenario Buono'!J5:J40,'Scenario Buono'!B5:B40,3)</f>
        <v>120.502092050209</v>
      </c>
      <c r="E55" s="22" t="n">
        <f aca="false">SUM(B55:D55)</f>
        <v>323.522773784433</v>
      </c>
    </row>
    <row r="56" customFormat="false" ht="15" hidden="false" customHeight="false" outlineLevel="0" collapsed="false">
      <c r="A56" s="11" t="s">
        <v>77</v>
      </c>
      <c r="B56" s="12" t="n">
        <f aca="false">SUMIFS('Scenario Buono'!K5:K40,'Scenario Buono'!B5:B40,1)</f>
        <v>41.5126603159851</v>
      </c>
      <c r="C56" s="12" t="n">
        <f aca="false">SUMIFS('Scenario Buono'!K5:K40,'Scenario Buono'!B5:B40,2)</f>
        <v>93.3850082293665</v>
      </c>
      <c r="D56" s="12" t="n">
        <f aca="false">SUMIFS('Scenario Buono'!K5:K40,'Scenario Buono'!B5:B40,3)</f>
        <v>200.328558369154</v>
      </c>
      <c r="E56" s="22" t="n">
        <f aca="false">SUM(B56:D56)</f>
        <v>335.226226914506</v>
      </c>
    </row>
    <row r="57" customFormat="false" ht="15" hidden="false" customHeight="false" outlineLevel="0" collapsed="false">
      <c r="A57" s="11" t="s">
        <v>78</v>
      </c>
      <c r="B57" s="14" t="n">
        <f aca="false">SUMIFS('Scenario Buono'!P5:P40,'Scenario Buono'!B5:B40,1)</f>
        <v>180345.346038569</v>
      </c>
      <c r="C57" s="14" t="n">
        <f aca="false">SUMIFS('Scenario Buono'!P5:P40,'Scenario Buono'!B5:B40,2)</f>
        <v>280819.398163751</v>
      </c>
      <c r="D57" s="14" t="n">
        <f aca="false">SUMIFS('Scenario Buono'!P5:P40,'Scenario Buono'!B5:B40,3)</f>
        <v>316643.323187049</v>
      </c>
      <c r="E57" s="23" t="n">
        <f aca="false">SUM(B57:D57)</f>
        <v>777808.067389368</v>
      </c>
    </row>
    <row r="58" customFormat="false" ht="15" hidden="false" customHeight="false" outlineLevel="0" collapsed="false">
      <c r="A58" s="11" t="s">
        <v>79</v>
      </c>
      <c r="B58" s="14" t="n">
        <f aca="false">SUMIFS('Scenario Buono'!Q5:Q40,'Scenario Buono'!B5:B40,1)</f>
        <v>9640</v>
      </c>
      <c r="C58" s="14" t="n">
        <f aca="false">SUMIFS('Scenario Buono'!Q5:Q40,'Scenario Buono'!B5:B40,2)</f>
        <v>7440</v>
      </c>
      <c r="D58" s="14" t="n">
        <f aca="false">SUMIFS('Scenario Buono'!Q5:Q40,'Scenario Buono'!B5:B40,3)</f>
        <v>7440</v>
      </c>
      <c r="E58" s="23" t="n">
        <f aca="false">SUM(B58:D58)</f>
        <v>24520</v>
      </c>
    </row>
    <row r="59" customFormat="false" ht="15" hidden="false" customHeight="false" outlineLevel="0" collapsed="false">
      <c r="A59" s="11" t="s">
        <v>80</v>
      </c>
      <c r="B59" s="14" t="n">
        <f aca="false">SUMIFS('Scenario Buono'!R5:R40,'Scenario Buono'!B5:B40,1)</f>
        <v>12480</v>
      </c>
      <c r="C59" s="14" t="n">
        <f aca="false">SUMIFS('Scenario Buono'!R5:R40,'Scenario Buono'!B5:B40,2)</f>
        <v>12480</v>
      </c>
      <c r="D59" s="14" t="n">
        <f aca="false">SUMIFS('Scenario Buono'!R5:R40,'Scenario Buono'!B5:B40,3)</f>
        <v>12480</v>
      </c>
      <c r="E59" s="23" t="n">
        <f aca="false">SUM(B59:D59)</f>
        <v>37440</v>
      </c>
    </row>
    <row r="60" customFormat="false" ht="15" hidden="false" customHeight="false" outlineLevel="0" collapsed="false">
      <c r="A60" s="11" t="s">
        <v>81</v>
      </c>
      <c r="B60" s="14" t="n">
        <f aca="false">SUMIFS('Scenario Buono'!S5:S40,'Scenario Buono'!B5:B40,1)</f>
        <v>49944.37640625</v>
      </c>
      <c r="C60" s="14" t="n">
        <f aca="false">SUMIFS('Scenario Buono'!S5:S40,'Scenario Buono'!B5:B40,2)</f>
        <v>64800</v>
      </c>
      <c r="D60" s="14" t="n">
        <f aca="false">SUMIFS('Scenario Buono'!S5:S40,'Scenario Buono'!B5:B40,3)</f>
        <v>64800</v>
      </c>
      <c r="E60" s="23" t="n">
        <f aca="false">SUM(B60:D60)</f>
        <v>179544.37640625</v>
      </c>
    </row>
    <row r="61" customFormat="false" ht="15" hidden="false" customHeight="false" outlineLevel="0" collapsed="false">
      <c r="A61" s="11" t="s">
        <v>82</v>
      </c>
      <c r="B61" s="14" t="n">
        <f aca="false">SUMIFS('Scenario Buono'!T5:T40,'Scenario Buono'!B5:B40,1)</f>
        <v>108280.969632319</v>
      </c>
      <c r="C61" s="14" t="n">
        <f aca="false">SUMIFS('Scenario Buono'!T5:T40,'Scenario Buono'!B5:B40,2)</f>
        <v>196099.398163751</v>
      </c>
      <c r="D61" s="14" t="n">
        <f aca="false">SUMIFS('Scenario Buono'!T5:T40,'Scenario Buono'!B5:B40,3)</f>
        <v>231923.323187049</v>
      </c>
      <c r="E61" s="23" t="n">
        <f aca="false">SUM(B61:D61)</f>
        <v>536303.690983118</v>
      </c>
    </row>
    <row r="62" customFormat="false" ht="15" hidden="false" customHeight="false" outlineLevel="0" collapsed="false">
      <c r="A62" s="11" t="s">
        <v>83</v>
      </c>
      <c r="B62" s="14" t="n">
        <f aca="false">SUMIFS('Scenario Buono'!V5:V40,'Scenario Buono'!B5:B40,1)</f>
        <v>125876.94455158</v>
      </c>
      <c r="C62" s="14" t="n">
        <f aca="false">SUMIFS('Scenario Buono'!V5:V40,'Scenario Buono'!B5:B40,2)</f>
        <v>273982.360320196</v>
      </c>
      <c r="D62" s="14" t="n">
        <f aca="false">SUMIFS('Scenario Buono'!V5:V40,'Scenario Buono'!B5:B40,3)</f>
        <v>316643.323187049</v>
      </c>
      <c r="E62" s="23" t="n">
        <f aca="false">SUM(B62:D62)</f>
        <v>716502.628058825</v>
      </c>
    </row>
    <row r="63" customFormat="false" ht="15" hidden="false" customHeight="false" outlineLevel="0" collapsed="false">
      <c r="A63" s="11" t="s">
        <v>84</v>
      </c>
      <c r="B63" s="14" t="n">
        <f aca="false">SUMIFS('Scenario Buono'!W5:W40,'Scenario Buono'!B5:B40,1)</f>
        <v>66292.5681453299</v>
      </c>
      <c r="C63" s="14" t="n">
        <f aca="false">SUMIFS('Scenario Buono'!W5:W40,'Scenario Buono'!B5:B40,2)</f>
        <v>201742.360320196</v>
      </c>
      <c r="D63" s="14" t="n">
        <f aca="false">SUMIFS('Scenario Buono'!W5:W40,'Scenario Buono'!B5:B40,3)</f>
        <v>244403.323187049</v>
      </c>
      <c r="E63" s="23" t="n">
        <f aca="false">SUM(B63:D63)</f>
        <v>512438.251652574</v>
      </c>
    </row>
    <row r="64" customFormat="false" ht="15" hidden="false" customHeight="false" outlineLevel="0" collapsed="false">
      <c r="A64" s="5" t="s">
        <v>85</v>
      </c>
      <c r="B64" s="24" t="n">
        <f aca="false">IFERROR(B61/(B58+B59),0)</f>
        <v>4.89516137578295</v>
      </c>
      <c r="C64" s="24" t="n">
        <f aca="false">IFERROR(C61/(C58+C59),0)</f>
        <v>9.84434729737705</v>
      </c>
      <c r="D64" s="24" t="n">
        <f aca="false">IFERROR(D61/(D58+D59),0)</f>
        <v>11.6427371077836</v>
      </c>
      <c r="E64" s="24" t="n">
        <f aca="false">IFERROR(E61/(E58+E59),0)</f>
        <v>8.65564381832018</v>
      </c>
    </row>
    <row r="66" customFormat="false" ht="15" hidden="false" customHeight="false" outlineLevel="0" collapsed="false">
      <c r="A66" s="3" t="s">
        <v>88</v>
      </c>
      <c r="B66" s="4"/>
      <c r="C66" s="4"/>
      <c r="D66" s="4"/>
      <c r="E66" s="4"/>
    </row>
    <row r="67" customFormat="false" ht="15" hidden="false" customHeight="false" outlineLevel="0" collapsed="false">
      <c r="A67" s="10" t="s">
        <v>44</v>
      </c>
      <c r="B67" s="10" t="s">
        <v>45</v>
      </c>
      <c r="C67" s="10" t="s">
        <v>46</v>
      </c>
      <c r="D67" s="10" t="s">
        <v>47</v>
      </c>
      <c r="E67" s="10" t="s">
        <v>48</v>
      </c>
    </row>
    <row r="68" customFormat="false" ht="15" hidden="false" customHeight="false" outlineLevel="0" collapsed="false">
      <c r="A68" s="11" t="s">
        <v>89</v>
      </c>
      <c r="B68" s="12" t="n">
        <f aca="false">SUM('Scenario Prudente'!Z5:Z40)</f>
        <v>47.1245913495589</v>
      </c>
      <c r="C68" s="12" t="n">
        <f aca="false">SUM('Scenario Medio'!Z5:Z40)</f>
        <v>234.84565641237</v>
      </c>
      <c r="D68" s="12" t="n">
        <f aca="false">SUM('Scenario Buono'!Z5:Z40)</f>
        <v>731.046459109933</v>
      </c>
      <c r="E68" s="13" t="s">
        <v>50</v>
      </c>
    </row>
    <row r="69" customFormat="false" ht="15" hidden="false" customHeight="false" outlineLevel="0" collapsed="false">
      <c r="A69" s="11" t="s">
        <v>90</v>
      </c>
      <c r="B69" s="12" t="n">
        <f aca="false">SUM('Scenario Prudente'!AC5:AC40)</f>
        <v>9.07148383479008</v>
      </c>
      <c r="C69" s="12" t="n">
        <f aca="false">SUM('Scenario Medio'!AC5:AC40)</f>
        <v>50.8837395711242</v>
      </c>
      <c r="D69" s="12" t="n">
        <f aca="false">SUM('Scenario Buono'!AC5:AC40)</f>
        <v>3.10078125</v>
      </c>
      <c r="E69" s="13" t="s">
        <v>50</v>
      </c>
    </row>
    <row r="70" customFormat="false" ht="15" hidden="false" customHeight="false" outlineLevel="0" collapsed="false">
      <c r="A70" s="11" t="s">
        <v>91</v>
      </c>
      <c r="B70" s="12" t="n">
        <f aca="false">SUM('Scenario Prudente'!AB5:AB40)-SUM('Scenario Prudente'!AC5:AC40)</f>
        <v>0</v>
      </c>
      <c r="C70" s="12" t="n">
        <f aca="false">SUM('Scenario Medio'!AB5:AB40)-SUM('Scenario Medio'!AC5:AC40)</f>
        <v>5.47921796784471</v>
      </c>
      <c r="D70" s="12" t="n">
        <f aca="false">SUM('Scenario Buono'!AB5:AB40)-SUM('Scenario Buono'!AC5:AC40)</f>
        <v>194.281762709682</v>
      </c>
      <c r="E70" s="13" t="s">
        <v>50</v>
      </c>
    </row>
    <row r="71" customFormat="false" ht="15" hidden="false" customHeight="false" outlineLevel="0" collapsed="false">
      <c r="A71" s="11" t="s">
        <v>92</v>
      </c>
      <c r="B71" s="14" t="n">
        <f aca="false">SUM('Scenario Prudente'!AD5:AD40)</f>
        <v>19202.6819175534</v>
      </c>
      <c r="C71" s="14" t="n">
        <f aca="false">SUM('Scenario Medio'!AD5:AD40)</f>
        <v>107853.86232662</v>
      </c>
      <c r="D71" s="14" t="n">
        <f aca="false">SUM('Scenario Buono'!AD5:AD40)</f>
        <v>38897.102378697</v>
      </c>
      <c r="E71" s="13" t="s">
        <v>53</v>
      </c>
    </row>
    <row r="72" customFormat="false" ht="15" hidden="false" customHeight="false" outlineLevel="0" collapsed="false">
      <c r="A72" s="11" t="s">
        <v>93</v>
      </c>
      <c r="B72" s="14" t="n">
        <f aca="false">SUM('Scenario Prudente'!AE5:AF40)</f>
        <v>47030</v>
      </c>
      <c r="C72" s="14" t="n">
        <f aca="false">SUM('Scenario Medio'!AE5:AF40)</f>
        <v>47030</v>
      </c>
      <c r="D72" s="14" t="n">
        <f aca="false">SUM('Scenario Buono'!AE5:AF40)</f>
        <v>47030</v>
      </c>
      <c r="E72" s="13" t="s">
        <v>53</v>
      </c>
    </row>
    <row r="73" customFormat="false" ht="15" hidden="false" customHeight="false" outlineLevel="0" collapsed="false">
      <c r="A73" s="11" t="s">
        <v>94</v>
      </c>
      <c r="B73" s="14" t="n">
        <f aca="false">SUM('Scenario Prudente'!AG5:AG40)</f>
        <v>5013.73690090837</v>
      </c>
      <c r="C73" s="14" t="n">
        <f aca="false">SUM('Scenario Medio'!AG5:AG40)</f>
        <v>28123.199454372</v>
      </c>
      <c r="D73" s="14" t="n">
        <f aca="false">SUM('Scenario Buono'!AG5:AG40)</f>
        <v>1876.7478515625</v>
      </c>
      <c r="E73" s="13" t="s">
        <v>53</v>
      </c>
    </row>
    <row r="74" customFormat="false" ht="15" hidden="false" customHeight="false" outlineLevel="0" collapsed="false">
      <c r="A74" s="15" t="s">
        <v>95</v>
      </c>
      <c r="B74" s="16" t="n">
        <f aca="false">SUM('Scenario Prudente'!AH5:AH40)</f>
        <v>-32841.054983355</v>
      </c>
      <c r="C74" s="16" t="n">
        <f aca="false">SUM('Scenario Medio'!AH5:AH40)</f>
        <v>32700.6628722481</v>
      </c>
      <c r="D74" s="16" t="n">
        <f aca="false">SUM('Scenario Buono'!AH5:AH40)</f>
        <v>-10009.6454728655</v>
      </c>
      <c r="E74" s="13" t="s">
        <v>53</v>
      </c>
    </row>
    <row r="75" customFormat="false" ht="15" hidden="false" customHeight="false" outlineLevel="0" collapsed="false">
      <c r="A75" s="11" t="s">
        <v>96</v>
      </c>
      <c r="B75" s="17" t="n">
        <f aca="false">IFERROR(B74/B72,0)</f>
        <v>-0.698300127224219</v>
      </c>
      <c r="C75" s="17" t="n">
        <f aca="false">IFERROR(C74/C72,0)</f>
        <v>0.695314966452223</v>
      </c>
      <c r="D75" s="17" t="n">
        <f aca="false">IFERROR(D74/D72,0)</f>
        <v>-0.212835327936754</v>
      </c>
      <c r="E75" s="13" t="s">
        <v>58</v>
      </c>
    </row>
    <row r="76" customFormat="false" ht="15" hidden="false" customHeight="false" outlineLevel="0" collapsed="false">
      <c r="A76" s="11" t="s">
        <v>97</v>
      </c>
      <c r="B76" s="14" t="n">
        <f aca="false">SUM('Scenario Prudente'!T5:T40)+SUM('Scenario Prudente'!AH5:AH40)</f>
        <v>-47438.2935285661</v>
      </c>
      <c r="C76" s="14" t="n">
        <f aca="false">SUM('Scenario Medio'!T5:T40)+SUM('Scenario Medio'!AH5:AH40)</f>
        <v>280397.115298312</v>
      </c>
      <c r="D76" s="14" t="n">
        <f aca="false">SUM('Scenario Buono'!T5:T40)+SUM('Scenario Buono'!AH5:AH40)</f>
        <v>526294.045510253</v>
      </c>
      <c r="E76" s="13" t="s">
        <v>53</v>
      </c>
    </row>
    <row r="77" customFormat="false" ht="15" hidden="false" customHeight="false" outlineLevel="0" collapsed="false">
      <c r="A77" s="11" t="s">
        <v>98</v>
      </c>
      <c r="B77" s="19" t="str">
        <f aca="false">IF(MIN('Scenario Prudente'!AM5:AM40)=999,"Oltre 36 mesi",MIN('Scenario Prudente'!AM5:AM40))</f>
        <v>Oltre 36 mesi</v>
      </c>
      <c r="C77" s="19" t="n">
        <f aca="false">IF(MIN('Scenario Medio'!AM5:AM40)=999,"Oltre 36 mesi",MIN('Scenario Medio'!AM5:AM40))</f>
        <v>6</v>
      </c>
      <c r="D77" s="19" t="n">
        <f aca="false">IF(MIN('Scenario Buono'!AM5:AM40)=999,"Oltre 36 mesi",MIN('Scenario Buono'!AM5:AM40))</f>
        <v>4</v>
      </c>
      <c r="E77" s="13" t="s">
        <v>62</v>
      </c>
    </row>
    <row r="78" customFormat="false" ht="15" hidden="false" customHeight="false" outlineLevel="0" collapsed="false">
      <c r="A78" s="11" t="s">
        <v>99</v>
      </c>
      <c r="B78" s="14" t="n">
        <f aca="false">'Scenario Prudente'!AL40</f>
        <v>-4558.12265372378</v>
      </c>
      <c r="C78" s="14" t="n">
        <f aca="false">'Scenario Medio'!AL40</f>
        <v>274102.67684448</v>
      </c>
      <c r="D78" s="14" t="n">
        <f aca="false">'Scenario Buono'!AL40</f>
        <v>516988.606179709</v>
      </c>
      <c r="E78" s="13" t="s">
        <v>53</v>
      </c>
    </row>
    <row r="79" customFormat="false" ht="15" hidden="false" customHeight="false" outlineLevel="0" collapsed="false">
      <c r="A79" s="11" t="s">
        <v>100</v>
      </c>
      <c r="B79" s="14" t="n">
        <f aca="false">SUMIFS('Scenario Prudente'!AH5:AH40,'Scenario Prudente'!B5:B40,1)</f>
        <v>-11514.6262322917</v>
      </c>
      <c r="C79" s="14" t="n">
        <f aca="false">SUMIFS('Scenario Medio'!AH5:AH40,'Scenario Medio'!B5:B40,1)</f>
        <v>2308.92945</v>
      </c>
      <c r="D79" s="14" t="n">
        <f aca="false">SUMIFS('Scenario Buono'!AH5:AH40,'Scenario Buono'!B5:B40,1)</f>
        <v>-4265.5330078125</v>
      </c>
      <c r="E79" s="13" t="s">
        <v>53</v>
      </c>
    </row>
    <row r="80" customFormat="false" ht="15" hidden="false" customHeight="false" outlineLevel="0" collapsed="false">
      <c r="A80" s="11" t="s">
        <v>101</v>
      </c>
      <c r="B80" s="14" t="n">
        <f aca="false">SUMIFS('Scenario Prudente'!AH5:AH40,'Scenario Prudente'!B5:B40,2)</f>
        <v>-11282.8572226948</v>
      </c>
      <c r="C80" s="14" t="n">
        <f aca="false">SUMIFS('Scenario Medio'!AH5:AH40,'Scenario Medio'!B5:B40,2)</f>
        <v>13146.4878032579</v>
      </c>
      <c r="D80" s="14" t="n">
        <f aca="false">SUMIFS('Scenario Buono'!AH5:AH40,'Scenario Buono'!B5:B40,2)</f>
        <v>-5545.64498602121</v>
      </c>
      <c r="E80" s="13" t="s">
        <v>53</v>
      </c>
    </row>
    <row r="81" customFormat="false" ht="15" hidden="false" customHeight="false" outlineLevel="0" collapsed="false">
      <c r="A81" s="11" t="s">
        <v>102</v>
      </c>
      <c r="B81" s="14" t="n">
        <f aca="false">SUMIFS('Scenario Prudente'!AH5:AH40,'Scenario Prudente'!B5:B40,3)</f>
        <v>-10043.5715283685</v>
      </c>
      <c r="C81" s="14" t="n">
        <f aca="false">SUMIFS('Scenario Medio'!AH5:AH40,'Scenario Medio'!B5:B40,3)</f>
        <v>17245.2456189901</v>
      </c>
      <c r="D81" s="14" t="n">
        <f aca="false">SUMIFS('Scenario Buono'!AH5:AH40,'Scenario Buono'!B5:B40,3)</f>
        <v>-198.467479031819</v>
      </c>
      <c r="E81" s="13" t="s">
        <v>53</v>
      </c>
    </row>
    <row r="83" customFormat="false" ht="15" hidden="false" customHeight="false" outlineLevel="0" collapsed="false">
      <c r="A83" s="3" t="s">
        <v>103</v>
      </c>
      <c r="B83" s="4"/>
      <c r="C83" s="4"/>
      <c r="D83" s="4"/>
      <c r="E83" s="4"/>
    </row>
    <row r="84" customFormat="false" ht="15" hidden="false" customHeight="false" outlineLevel="0" collapsed="false">
      <c r="A84" s="10" t="s">
        <v>104</v>
      </c>
      <c r="B84" s="10" t="s">
        <v>45</v>
      </c>
      <c r="C84" s="10" t="s">
        <v>46</v>
      </c>
      <c r="D84" s="10" t="s">
        <v>47</v>
      </c>
    </row>
    <row r="85" customFormat="false" ht="15" hidden="false" customHeight="false" outlineLevel="0" collapsed="false">
      <c r="A85" s="25" t="n">
        <v>1</v>
      </c>
      <c r="B85" s="14" t="n">
        <f aca="false">'Scenario Prudente'!U5</f>
        <v>-3827.66923611111</v>
      </c>
      <c r="C85" s="14" t="n">
        <f aca="false">'Scenario Medio'!U5</f>
        <v>-3680.43</v>
      </c>
      <c r="D85" s="14" t="n">
        <f aca="false">'Scenario Buono'!U5</f>
        <v>-3270.7859375</v>
      </c>
    </row>
    <row r="86" customFormat="false" ht="15" hidden="false" customHeight="false" outlineLevel="0" collapsed="false">
      <c r="A86" s="25" t="n">
        <v>2</v>
      </c>
      <c r="B86" s="14" t="n">
        <f aca="false">'Scenario Prudente'!U6</f>
        <v>-5384.21079166667</v>
      </c>
      <c r="C86" s="14" t="n">
        <f aca="false">'Scenario Medio'!U6</f>
        <v>-4765.806</v>
      </c>
      <c r="D86" s="14" t="n">
        <f aca="false">'Scenario Buono'!U6</f>
        <v>-3045.3009375</v>
      </c>
    </row>
    <row r="87" customFormat="false" ht="15" hidden="false" customHeight="false" outlineLevel="0" collapsed="false">
      <c r="A87" s="25" t="n">
        <v>3</v>
      </c>
      <c r="B87" s="14" t="n">
        <f aca="false">'Scenario Prudente'!U7</f>
        <v>-6782.33160416667</v>
      </c>
      <c r="C87" s="14" t="n">
        <f aca="false">'Scenario Medio'!U7</f>
        <v>-4971.289</v>
      </c>
      <c r="D87" s="14" t="n">
        <f aca="false">'Scenario Buono'!U7</f>
        <v>67.3329687499991</v>
      </c>
    </row>
    <row r="88" customFormat="false" ht="15" hidden="false" customHeight="false" outlineLevel="0" collapsed="false">
      <c r="A88" s="25" t="n">
        <v>4</v>
      </c>
      <c r="B88" s="14" t="n">
        <f aca="false">'Scenario Prudente'!U8</f>
        <v>-7925.03938194444</v>
      </c>
      <c r="C88" s="14" t="n">
        <f aca="false">'Scenario Medio'!U8</f>
        <v>-3758.169</v>
      </c>
      <c r="D88" s="14" t="n">
        <f aca="false">'Scenario Buono'!U8</f>
        <v>7834.75796875</v>
      </c>
    </row>
    <row r="89" customFormat="false" ht="15" hidden="false" customHeight="false" outlineLevel="0" collapsed="false">
      <c r="A89" s="25" t="n">
        <v>5</v>
      </c>
      <c r="B89" s="14" t="n">
        <f aca="false">'Scenario Prudente'!U9</f>
        <v>-8695.943375</v>
      </c>
      <c r="C89" s="14" t="n">
        <f aca="false">'Scenario Medio'!U9</f>
        <v>-479.994</v>
      </c>
      <c r="D89" s="14" t="n">
        <f aca="false">'Scenario Buono'!U9</f>
        <v>19843.3859891961</v>
      </c>
    </row>
    <row r="90" customFormat="false" ht="15" hidden="false" customHeight="false" outlineLevel="0" collapsed="false">
      <c r="A90" s="25" t="n">
        <v>6</v>
      </c>
      <c r="B90" s="14" t="n">
        <f aca="false">'Scenario Prudente'!U10</f>
        <v>-8959.254375</v>
      </c>
      <c r="C90" s="14" t="n">
        <f aca="false">'Scenario Medio'!U10</f>
        <v>5617.43</v>
      </c>
      <c r="D90" s="14" t="n">
        <f aca="false">'Scenario Buono'!U10</f>
        <v>32882.3265096422</v>
      </c>
    </row>
    <row r="91" customFormat="false" ht="15" hidden="false" customHeight="false" outlineLevel="0" collapsed="false">
      <c r="A91" s="25" t="n">
        <v>7</v>
      </c>
      <c r="B91" s="14" t="n">
        <f aca="false">'Scenario Prudente'!U11</f>
        <v>-9338.956125</v>
      </c>
      <c r="C91" s="14" t="n">
        <f aca="false">'Scenario Medio'!U11</f>
        <v>11068.402</v>
      </c>
      <c r="D91" s="14" t="n">
        <f aca="false">'Scenario Buono'!U11</f>
        <v>45685.0170300883</v>
      </c>
    </row>
    <row r="92" customFormat="false" ht="15" hidden="false" customHeight="false" outlineLevel="0" collapsed="false">
      <c r="A92" s="25" t="n">
        <v>8</v>
      </c>
      <c r="B92" s="14" t="n">
        <f aca="false">'Scenario Prudente'!U12</f>
        <v>-9835.048625</v>
      </c>
      <c r="C92" s="14" t="n">
        <f aca="false">'Scenario Medio'!U12</f>
        <v>15872.922</v>
      </c>
      <c r="D92" s="14" t="n">
        <f aca="false">'Scenario Buono'!U12</f>
        <v>58251.4575505344</v>
      </c>
    </row>
    <row r="93" customFormat="false" ht="15" hidden="false" customHeight="false" outlineLevel="0" collapsed="false">
      <c r="A93" s="25" t="n">
        <v>9</v>
      </c>
      <c r="B93" s="14" t="n">
        <f aca="false">'Scenario Prudente'!U13</f>
        <v>-10331.141125</v>
      </c>
      <c r="C93" s="14" t="n">
        <f aca="false">'Scenario Medio'!U13</f>
        <v>20677.442</v>
      </c>
      <c r="D93" s="14" t="n">
        <f aca="false">'Scenario Buono'!U13</f>
        <v>70817.8980709805</v>
      </c>
    </row>
    <row r="94" customFormat="false" ht="15" hidden="false" customHeight="false" outlineLevel="0" collapsed="false">
      <c r="A94" s="25" t="n">
        <v>10</v>
      </c>
      <c r="B94" s="14" t="n">
        <f aca="false">'Scenario Prudente'!U14</f>
        <v>-11176.405875</v>
      </c>
      <c r="C94" s="14" t="n">
        <f aca="false">'Scenario Medio'!U14</f>
        <v>23542.606</v>
      </c>
      <c r="D94" s="14" t="n">
        <f aca="false">'Scenario Buono'!U14</f>
        <v>82675.5885914266</v>
      </c>
    </row>
    <row r="95" customFormat="false" ht="15" hidden="false" customHeight="false" outlineLevel="0" collapsed="false">
      <c r="A95" s="25" t="n">
        <v>11</v>
      </c>
      <c r="B95" s="14" t="n">
        <f aca="false">'Scenario Prudente'!U15</f>
        <v>-11556.107625</v>
      </c>
      <c r="C95" s="14" t="n">
        <f aca="false">'Scenario Medio'!U15</f>
        <v>28993.578</v>
      </c>
      <c r="D95" s="14" t="n">
        <f aca="false">'Scenario Buono'!U15</f>
        <v>95478.2791118727</v>
      </c>
    </row>
    <row r="96" customFormat="false" ht="15" hidden="false" customHeight="false" outlineLevel="0" collapsed="false">
      <c r="A96" s="25" t="n">
        <v>12</v>
      </c>
      <c r="B96" s="14" t="n">
        <f aca="false">'Scenario Prudente'!U16</f>
        <v>-11935.809375</v>
      </c>
      <c r="C96" s="14" t="n">
        <f aca="false">'Scenario Medio'!U16</f>
        <v>34444.55</v>
      </c>
      <c r="D96" s="14" t="n">
        <f aca="false">'Scenario Buono'!U16</f>
        <v>108280.969632319</v>
      </c>
    </row>
    <row r="97" customFormat="false" ht="15" hidden="false" customHeight="false" outlineLevel="0" collapsed="false">
      <c r="A97" s="25" t="n">
        <v>13</v>
      </c>
      <c r="B97" s="14" t="n">
        <f aca="false">'Scenario Prudente'!U17</f>
        <v>-12357.1056540009</v>
      </c>
      <c r="C97" s="14" t="n">
        <f aca="false">'Scenario Medio'!U17</f>
        <v>40232.788080426</v>
      </c>
      <c r="D97" s="14" t="n">
        <f aca="false">'Scenario Buono'!U17</f>
        <v>124095.621846814</v>
      </c>
    </row>
    <row r="98" customFormat="false" ht="15" hidden="false" customHeight="false" outlineLevel="0" collapsed="false">
      <c r="A98" s="25" t="n">
        <v>14</v>
      </c>
      <c r="B98" s="14" t="n">
        <f aca="false">'Scenario Prudente'!U18</f>
        <v>-13007.5430303645</v>
      </c>
      <c r="C98" s="14" t="n">
        <f aca="false">'Scenario Medio'!U18</f>
        <v>44789.4434888298</v>
      </c>
      <c r="D98" s="14" t="n">
        <f aca="false">'Scenario Buono'!U18</f>
        <v>139488.720126445</v>
      </c>
    </row>
    <row r="99" customFormat="false" ht="15" hidden="false" customHeight="false" outlineLevel="0" collapsed="false">
      <c r="A99" s="25" t="n">
        <v>15</v>
      </c>
      <c r="B99" s="14" t="n">
        <f aca="false">'Scenario Prudente'!U19</f>
        <v>-13510.4677366662</v>
      </c>
      <c r="C99" s="14" t="n">
        <f aca="false">'Scenario Medio'!U19</f>
        <v>50243.5604896399</v>
      </c>
      <c r="D99" s="14" t="n">
        <f aca="false">'Scenario Buono'!U19</f>
        <v>155212.764901304</v>
      </c>
    </row>
    <row r="100" customFormat="false" ht="15" hidden="false" customHeight="false" outlineLevel="0" collapsed="false">
      <c r="A100" s="25" t="n">
        <v>16</v>
      </c>
      <c r="B100" s="14" t="n">
        <f aca="false">'Scenario Prudente'!U20</f>
        <v>-13860.6980181649</v>
      </c>
      <c r="C100" s="14" t="n">
        <f aca="false">'Scenario Medio'!U20</f>
        <v>56641.5572250149</v>
      </c>
      <c r="D100" s="14" t="n">
        <f aca="false">'Scenario Buono'!U20</f>
        <v>171288.114642433</v>
      </c>
    </row>
    <row r="101" customFormat="false" ht="15" hidden="false" customHeight="false" outlineLevel="0" collapsed="false">
      <c r="A101" s="25" t="n">
        <v>17</v>
      </c>
      <c r="B101" s="14" t="n">
        <f aca="false">'Scenario Prudente'!U21</f>
        <v>-14052.9095712093</v>
      </c>
      <c r="C101" s="14" t="n">
        <f aca="false">'Scenario Medio'!U21</f>
        <v>64031.7660432884</v>
      </c>
      <c r="D101" s="14" t="n">
        <f aca="false">'Scenario Buono'!U21</f>
        <v>187736.13624572</v>
      </c>
    </row>
    <row r="102" customFormat="false" ht="15" hidden="false" customHeight="false" outlineLevel="0" collapsed="false">
      <c r="A102" s="25" t="n">
        <v>18</v>
      </c>
      <c r="B102" s="14" t="n">
        <f aca="false">'Scenario Prudente'!U22</f>
        <v>-14081.6320176178</v>
      </c>
      <c r="C102" s="14" t="n">
        <f aca="false">'Scenario Medio'!U22</f>
        <v>72464.5048298952</v>
      </c>
      <c r="D102" s="14" t="n">
        <f aca="false">'Scenario Buono'!U22</f>
        <v>204579.250299212</v>
      </c>
    </row>
    <row r="103" customFormat="false" ht="15" hidden="false" customHeight="false" outlineLevel="0" collapsed="false">
      <c r="A103" s="25" t="n">
        <v>19</v>
      </c>
      <c r="B103" s="14" t="n">
        <f aca="false">'Scenario Prudente'!U23</f>
        <v>-14218.2278693431</v>
      </c>
      <c r="C103" s="14" t="n">
        <f aca="false">'Scenario Medio'!U23</f>
        <v>80347.8976137648</v>
      </c>
      <c r="D103" s="14" t="n">
        <f aca="false">'Scenario Buono'!U23</f>
        <v>221242.398943302</v>
      </c>
    </row>
    <row r="104" customFormat="false" ht="15" hidden="false" customHeight="false" outlineLevel="0" collapsed="false">
      <c r="A104" s="25" t="n">
        <v>20</v>
      </c>
      <c r="B104" s="14" t="n">
        <f aca="false">'Scenario Prudente'!U24</f>
        <v>-14467.3212105968</v>
      </c>
      <c r="C104" s="14" t="n">
        <f aca="false">'Scenario Medio'!U24</f>
        <v>87642.9449859161</v>
      </c>
      <c r="D104" s="14" t="n">
        <f aca="false">'Scenario Buono'!U24</f>
        <v>237709.112058308</v>
      </c>
    </row>
    <row r="105" customFormat="false" ht="15" hidden="false" customHeight="false" outlineLevel="0" collapsed="false">
      <c r="A105" s="25" t="n">
        <v>21</v>
      </c>
      <c r="B105" s="14" t="n">
        <f aca="false">'Scenario Prudente'!U25</f>
        <v>-14689.9328707108</v>
      </c>
      <c r="C105" s="14" t="n">
        <f aca="false">'Scenario Medio'!U25</f>
        <v>95178.4214018156</v>
      </c>
      <c r="D105" s="14" t="n">
        <f aca="false">'Scenario Buono'!U25</f>
        <v>254282.214001696</v>
      </c>
    </row>
    <row r="106" customFormat="false" ht="15" hidden="false" customHeight="false" outlineLevel="0" collapsed="false">
      <c r="A106" s="25" t="n">
        <v>22</v>
      </c>
      <c r="B106" s="14" t="n">
        <f aca="false">'Scenario Prudente'!U26</f>
        <v>-15324.8759268069</v>
      </c>
      <c r="C106" s="14" t="n">
        <f aca="false">'Scenario Medio'!U26</f>
        <v>100278.34103798</v>
      </c>
      <c r="D106" s="14" t="n">
        <f aca="false">'Scenario Buono'!U26</f>
        <v>269971.70556199</v>
      </c>
    </row>
    <row r="107" customFormat="false" ht="15" hidden="false" customHeight="false" outlineLevel="0" collapsed="false">
      <c r="A107" s="25" t="n">
        <v>23</v>
      </c>
      <c r="B107" s="14" t="n">
        <f aca="false">'Scenario Prudente'!U27</f>
        <v>-15343.8385548161</v>
      </c>
      <c r="C107" s="14" t="n">
        <f aca="false">'Scenario Medio'!U27</f>
        <v>109235.084544193</v>
      </c>
      <c r="D107" s="14" t="n">
        <f aca="false">'Scenario Buono'!U27</f>
        <v>287111.280452973</v>
      </c>
    </row>
    <row r="108" customFormat="false" ht="15" hidden="false" customHeight="false" outlineLevel="0" collapsed="false">
      <c r="A108" s="25" t="n">
        <v>24</v>
      </c>
      <c r="B108" s="14" t="n">
        <f aca="false">'Scenario Prudente'!U28</f>
        <v>-15332.0001173161</v>
      </c>
      <c r="C108" s="14" t="n">
        <f aca="false">'Scenario Medio'!U28</f>
        <v>118479.509344193</v>
      </c>
      <c r="D108" s="14" t="n">
        <f aca="false">'Scenario Buono'!U28</f>
        <v>304380.36779607</v>
      </c>
    </row>
    <row r="109" customFormat="false" ht="15" hidden="false" customHeight="false" outlineLevel="0" collapsed="false">
      <c r="A109" s="25" t="n">
        <v>25</v>
      </c>
      <c r="B109" s="14" t="n">
        <f aca="false">'Scenario Prudente'!U29</f>
        <v>-15443.6204660672</v>
      </c>
      <c r="C109" s="14" t="n">
        <f aca="false">'Scenario Medio'!U29</f>
        <v>127547.04265679</v>
      </c>
      <c r="D109" s="14" t="n">
        <f aca="false">'Scenario Buono'!U29</f>
        <v>322916.864946265</v>
      </c>
    </row>
    <row r="110" customFormat="false" ht="15" hidden="false" customHeight="false" outlineLevel="0" collapsed="false">
      <c r="A110" s="25" t="n">
        <v>26</v>
      </c>
      <c r="B110" s="14" t="n">
        <f aca="false">'Scenario Prudente'!U30</f>
        <v>-15841.6671865216</v>
      </c>
      <c r="C110" s="14" t="n">
        <f aca="false">'Scenario Medio'!U30</f>
        <v>134890.360228555</v>
      </c>
      <c r="D110" s="14" t="n">
        <f aca="false">'Scenario Buono'!U30</f>
        <v>340821.031194163</v>
      </c>
    </row>
    <row r="111" customFormat="false" ht="15" hidden="false" customHeight="false" outlineLevel="0" collapsed="false">
      <c r="A111" s="25" t="n">
        <v>27</v>
      </c>
      <c r="B111" s="14" t="n">
        <f aca="false">'Scenario Prudente'!U31</f>
        <v>-16055.3230693988</v>
      </c>
      <c r="C111" s="14" t="n">
        <f aca="false">'Scenario Medio'!U31</f>
        <v>143490.124029689</v>
      </c>
      <c r="D111" s="14" t="n">
        <f aca="false">'Scenario Buono'!U31</f>
        <v>359221.617184903</v>
      </c>
    </row>
    <row r="112" customFormat="false" ht="15" hidden="false" customHeight="false" outlineLevel="0" collapsed="false">
      <c r="A112" s="25" t="n">
        <v>28</v>
      </c>
      <c r="B112" s="14" t="n">
        <f aca="false">'Scenario Prudente'!U32</f>
        <v>-16078.1109212722</v>
      </c>
      <c r="C112" s="14" t="n">
        <f aca="false">'Scenario Medio'!U32</f>
        <v>153411.319459214</v>
      </c>
      <c r="D112" s="14" t="n">
        <f aca="false">'Scenario Buono'!U32</f>
        <v>378149.160625048</v>
      </c>
    </row>
    <row r="113" customFormat="false" ht="15" hidden="false" customHeight="false" outlineLevel="0" collapsed="false">
      <c r="A113" s="25" t="n">
        <v>29</v>
      </c>
      <c r="B113" s="14" t="n">
        <f aca="false">'Scenario Prudente'!U33</f>
        <v>-15903.3753625776</v>
      </c>
      <c r="C113" s="14" t="n">
        <f aca="false">'Scenario Medio'!U33</f>
        <v>164721.611804797</v>
      </c>
      <c r="D113" s="14" t="n">
        <f aca="false">'Scenario Buono'!U33</f>
        <v>397635.711858431</v>
      </c>
    </row>
    <row r="114" customFormat="false" ht="15" hidden="false" customHeight="false" outlineLevel="0" collapsed="false">
      <c r="A114" s="25" t="n">
        <v>30</v>
      </c>
      <c r="B114" s="14" t="n">
        <f aca="false">'Scenario Prudente'!U34</f>
        <v>-15524.2784205883</v>
      </c>
      <c r="C114" s="14" t="n">
        <f aca="false">'Scenario Medio'!U34</f>
        <v>177491.446106046</v>
      </c>
      <c r="D114" s="14" t="n">
        <f aca="false">'Scenario Buono'!U34</f>
        <v>417714.90176712</v>
      </c>
    </row>
    <row r="115" customFormat="false" ht="15" hidden="false" customHeight="false" outlineLevel="0" collapsed="false">
      <c r="A115" s="25" t="n">
        <v>31</v>
      </c>
      <c r="B115" s="14" t="n">
        <f aca="false">'Scenario Prudente'!U35</f>
        <v>-15280.0232352449</v>
      </c>
      <c r="C115" s="14" t="n">
        <f aca="false">'Scenario Medio'!U35</f>
        <v>189492.196003464</v>
      </c>
      <c r="D115" s="14" t="n">
        <f aca="false">'Scenario Buono'!U35</f>
        <v>437524.143561708</v>
      </c>
    </row>
    <row r="116" customFormat="false" ht="15" hidden="false" customHeight="false" outlineLevel="0" collapsed="false">
      <c r="A116" s="25" t="n">
        <v>32</v>
      </c>
      <c r="B116" s="14" t="n">
        <f aca="false">'Scenario Prudente'!U36</f>
        <v>-15176.389911812</v>
      </c>
      <c r="C116" s="14" t="n">
        <f aca="false">'Scenario Medio'!U36</f>
        <v>200669.262324476</v>
      </c>
      <c r="D116" s="14" t="n">
        <f aca="false">'Scenario Buono'!U36</f>
        <v>457038.732062668</v>
      </c>
    </row>
    <row r="117" customFormat="false" ht="15" hidden="false" customHeight="false" outlineLevel="0" collapsed="false">
      <c r="A117" s="25" t="n">
        <v>33</v>
      </c>
      <c r="B117" s="14" t="n">
        <f aca="false">'Scenario Prudente'!U37</f>
        <v>-15039.6544869545</v>
      </c>
      <c r="C117" s="14" t="n">
        <f aca="false">'Scenario Medio'!U37</f>
        <v>212182.929306735</v>
      </c>
      <c r="D117" s="14" t="n">
        <f aca="false">'Scenario Buono'!U37</f>
        <v>476712.903806203</v>
      </c>
    </row>
    <row r="118" customFormat="false" ht="15" hidden="false" customHeight="false" outlineLevel="0" collapsed="false">
      <c r="A118" s="25" t="n">
        <v>34</v>
      </c>
      <c r="B118" s="14" t="n">
        <f aca="false">'Scenario Prudente'!U38</f>
        <v>-15418.3333070746</v>
      </c>
      <c r="C118" s="14" t="n">
        <f aca="false">'Scenario Medio'!U38</f>
        <v>220286.816797364</v>
      </c>
      <c r="D118" s="14" t="n">
        <f aca="false">'Scenario Buono'!U38</f>
        <v>495061.659975095</v>
      </c>
    </row>
    <row r="119" customFormat="false" ht="15" hidden="false" customHeight="false" outlineLevel="0" collapsed="false">
      <c r="A119" s="25" t="n">
        <v>35</v>
      </c>
      <c r="B119" s="14" t="n">
        <f aca="false">'Scenario Prudente'!U39</f>
        <v>-15027.0365920861</v>
      </c>
      <c r="C119" s="14" t="n">
        <f aca="false">'Scenario Medio'!U39</f>
        <v>233790.257706064</v>
      </c>
      <c r="D119" s="14" t="n">
        <f aca="false">'Scenario Buono'!U39</f>
        <v>515585.541140022</v>
      </c>
    </row>
    <row r="120" customFormat="false" ht="15" hidden="false" customHeight="false" outlineLevel="0" collapsed="false">
      <c r="A120" s="25" t="n">
        <v>36</v>
      </c>
      <c r="B120" s="14" t="n">
        <f aca="false">'Scenario Prudente'!U40</f>
        <v>-14597.2385452111</v>
      </c>
      <c r="C120" s="14" t="n">
        <f aca="false">'Scenario Medio'!U40</f>
        <v>247696.452426064</v>
      </c>
      <c r="D120" s="14" t="n">
        <f aca="false">'Scenario Buono'!U40</f>
        <v>536303.690983118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6" customFormat="false" ht="15" hidden="false" customHeight="false" outlineLevel="0" collapsed="false">
      <c r="A6" s="3" t="s">
        <v>107</v>
      </c>
      <c r="B6" s="10" t="s">
        <v>108</v>
      </c>
      <c r="C6" s="10" t="s">
        <v>48</v>
      </c>
      <c r="D6" s="10"/>
      <c r="E6" s="10" t="s">
        <v>109</v>
      </c>
    </row>
    <row r="7" customFormat="false" ht="15" hidden="false" customHeight="false" outlineLevel="0" collapsed="false">
      <c r="A7" s="11" t="s">
        <v>110</v>
      </c>
      <c r="B7" s="25" t="n">
        <v>11</v>
      </c>
      <c r="C7" s="13" t="s">
        <v>111</v>
      </c>
      <c r="E7" s="2" t="s">
        <v>112</v>
      </c>
    </row>
    <row r="8" customFormat="false" ht="15" hidden="false" customHeight="false" outlineLevel="0" collapsed="false">
      <c r="A8" s="11" t="s">
        <v>113</v>
      </c>
      <c r="B8" s="25" t="n">
        <v>4</v>
      </c>
      <c r="C8" s="13" t="s">
        <v>50</v>
      </c>
      <c r="E8" s="2" t="s">
        <v>114</v>
      </c>
    </row>
    <row r="9" customFormat="false" ht="15" hidden="false" customHeight="false" outlineLevel="0" collapsed="false">
      <c r="A9" s="11" t="s">
        <v>115</v>
      </c>
      <c r="B9" s="26" t="n">
        <v>80</v>
      </c>
      <c r="C9" s="13" t="s">
        <v>116</v>
      </c>
      <c r="E9" s="2" t="s">
        <v>117</v>
      </c>
    </row>
    <row r="10" customFormat="false" ht="15" hidden="false" customHeight="false" outlineLevel="0" collapsed="false">
      <c r="A10" s="11" t="s">
        <v>118</v>
      </c>
      <c r="B10" s="26" t="n">
        <v>1200</v>
      </c>
      <c r="C10" s="13" t="s">
        <v>53</v>
      </c>
      <c r="E10" s="2" t="s">
        <v>119</v>
      </c>
    </row>
    <row r="11" customFormat="false" ht="15" hidden="false" customHeight="false" outlineLevel="0" collapsed="false">
      <c r="A11" s="11" t="s">
        <v>120</v>
      </c>
      <c r="B11" s="26" t="n">
        <v>1000</v>
      </c>
      <c r="C11" s="13" t="s">
        <v>53</v>
      </c>
      <c r="E11" s="2" t="s">
        <v>121</v>
      </c>
    </row>
    <row r="12" customFormat="false" ht="15" hidden="false" customHeight="false" outlineLevel="0" collapsed="false">
      <c r="A12" s="11" t="s">
        <v>122</v>
      </c>
      <c r="B12" s="26" t="n">
        <v>40</v>
      </c>
      <c r="C12" s="13" t="s">
        <v>123</v>
      </c>
      <c r="E12" s="2" t="s">
        <v>124</v>
      </c>
    </row>
    <row r="13" customFormat="false" ht="15" hidden="false" customHeight="false" outlineLevel="0" collapsed="false">
      <c r="A13" s="11" t="s">
        <v>125</v>
      </c>
      <c r="B13" s="26" t="n">
        <v>0</v>
      </c>
      <c r="C13" s="13" t="s">
        <v>123</v>
      </c>
      <c r="E13" s="2" t="s">
        <v>126</v>
      </c>
    </row>
    <row r="14" customFormat="false" ht="15" hidden="false" customHeight="false" outlineLevel="0" collapsed="false">
      <c r="A14" s="11" t="s">
        <v>127</v>
      </c>
      <c r="B14" s="27" t="n">
        <v>3</v>
      </c>
      <c r="C14" s="13" t="s">
        <v>128</v>
      </c>
      <c r="E14" s="2" t="s">
        <v>129</v>
      </c>
    </row>
    <row r="15" customFormat="false" ht="15" hidden="false" customHeight="false" outlineLevel="0" collapsed="false">
      <c r="A15" s="11" t="s">
        <v>130</v>
      </c>
      <c r="B15" s="28" t="n">
        <v>80</v>
      </c>
      <c r="C15" s="13" t="s">
        <v>131</v>
      </c>
      <c r="E15" s="2" t="s">
        <v>132</v>
      </c>
    </row>
    <row r="16" customFormat="false" ht="15" hidden="false" customHeight="false" outlineLevel="0" collapsed="false">
      <c r="A16" s="11" t="s">
        <v>133</v>
      </c>
      <c r="B16" s="29" t="n">
        <v>3</v>
      </c>
      <c r="C16" s="13" t="s">
        <v>128</v>
      </c>
      <c r="E16" s="2" t="s">
        <v>134</v>
      </c>
    </row>
    <row r="17" customFormat="false" ht="15" hidden="false" customHeight="false" outlineLevel="0" collapsed="false">
      <c r="A17" s="11" t="s">
        <v>135</v>
      </c>
      <c r="B17" s="26" t="n">
        <v>20</v>
      </c>
      <c r="C17" s="13" t="s">
        <v>131</v>
      </c>
      <c r="E17" s="2" t="s">
        <v>136</v>
      </c>
    </row>
    <row r="18" customFormat="false" ht="15" hidden="false" customHeight="false" outlineLevel="0" collapsed="false">
      <c r="A18" s="11" t="s">
        <v>137</v>
      </c>
      <c r="B18" s="25" t="n">
        <v>6</v>
      </c>
      <c r="C18" s="13" t="s">
        <v>138</v>
      </c>
      <c r="E18" s="2" t="s">
        <v>139</v>
      </c>
    </row>
    <row r="19" customFormat="false" ht="15" hidden="false" customHeight="false" outlineLevel="0" collapsed="false">
      <c r="A19" s="11" t="s">
        <v>140</v>
      </c>
      <c r="B19" s="26" t="n">
        <v>100</v>
      </c>
      <c r="C19" s="13" t="s">
        <v>53</v>
      </c>
      <c r="E19" s="2" t="s">
        <v>141</v>
      </c>
    </row>
    <row r="20" customFormat="false" ht="15" hidden="false" customHeight="false" outlineLevel="0" collapsed="false">
      <c r="A20" s="11" t="s">
        <v>142</v>
      </c>
      <c r="B20" s="30" t="n">
        <v>0.5</v>
      </c>
      <c r="C20" s="13" t="s">
        <v>143</v>
      </c>
      <c r="E20" s="2" t="s">
        <v>144</v>
      </c>
    </row>
    <row r="21" customFormat="false" ht="15" hidden="false" customHeight="false" outlineLevel="0" collapsed="false">
      <c r="A21" s="11" t="s">
        <v>145</v>
      </c>
      <c r="B21" s="25" t="n">
        <v>6</v>
      </c>
      <c r="C21" s="13" t="s">
        <v>138</v>
      </c>
      <c r="E21" s="2" t="s">
        <v>146</v>
      </c>
    </row>
    <row r="22" customFormat="false" ht="15" hidden="false" customHeight="false" outlineLevel="0" collapsed="false">
      <c r="A22" s="11" t="s">
        <v>147</v>
      </c>
      <c r="B22" s="28" t="n">
        <v>45</v>
      </c>
      <c r="C22" s="13" t="s">
        <v>131</v>
      </c>
      <c r="E22" s="2" t="s">
        <v>148</v>
      </c>
    </row>
    <row r="23" customFormat="false" ht="15" hidden="false" customHeight="false" outlineLevel="0" collapsed="false">
      <c r="A23" s="11" t="s">
        <v>149</v>
      </c>
      <c r="B23" s="31" t="n">
        <v>120</v>
      </c>
      <c r="C23" s="13" t="s">
        <v>150</v>
      </c>
      <c r="E23" s="2" t="s">
        <v>151</v>
      </c>
    </row>
    <row r="24" customFormat="false" ht="15" hidden="false" customHeight="false" outlineLevel="0" collapsed="false">
      <c r="A24" s="11" t="s">
        <v>152</v>
      </c>
      <c r="B24" s="30" t="n">
        <v>0.3</v>
      </c>
      <c r="C24" s="13" t="s">
        <v>143</v>
      </c>
      <c r="E24" s="2" t="s">
        <v>153</v>
      </c>
    </row>
    <row r="25" customFormat="false" ht="15" hidden="false" customHeight="false" outlineLevel="0" collapsed="false">
      <c r="A25" s="11" t="s">
        <v>154</v>
      </c>
      <c r="B25" s="26" t="n">
        <v>6000</v>
      </c>
      <c r="C25" s="13" t="s">
        <v>155</v>
      </c>
      <c r="E25" s="2" t="s">
        <v>156</v>
      </c>
    </row>
    <row r="26" customFormat="false" ht="15" hidden="false" customHeight="false" outlineLevel="0" collapsed="false">
      <c r="A26" s="11" t="s">
        <v>157</v>
      </c>
      <c r="B26" s="25" t="n">
        <v>13</v>
      </c>
      <c r="C26" s="13" t="s">
        <v>62</v>
      </c>
      <c r="E26" s="2" t="s">
        <v>158</v>
      </c>
    </row>
    <row r="27" customFormat="false" ht="15" hidden="false" customHeight="false" outlineLevel="0" collapsed="false">
      <c r="A27" s="11" t="s">
        <v>159</v>
      </c>
      <c r="B27" s="25" t="n">
        <v>25</v>
      </c>
      <c r="C27" s="13" t="s">
        <v>62</v>
      </c>
      <c r="E27" s="2" t="s">
        <v>160</v>
      </c>
    </row>
    <row r="29" customFormat="false" ht="15" hidden="false" customHeight="false" outlineLevel="0" collapsed="false">
      <c r="A29" s="3" t="s">
        <v>161</v>
      </c>
      <c r="B29" s="4"/>
      <c r="C29" s="4"/>
      <c r="D29" s="4"/>
      <c r="E29" s="4"/>
    </row>
    <row r="30" customFormat="false" ht="23.85" hidden="false" customHeight="false" outlineLevel="0" collapsed="false">
      <c r="A30" s="10" t="s">
        <v>162</v>
      </c>
      <c r="B30" s="10" t="s">
        <v>163</v>
      </c>
      <c r="C30" s="10" t="s">
        <v>164</v>
      </c>
      <c r="D30" s="10" t="s">
        <v>165</v>
      </c>
      <c r="E30" s="10" t="s">
        <v>166</v>
      </c>
    </row>
    <row r="31" customFormat="false" ht="15" hidden="false" customHeight="false" outlineLevel="0" collapsed="false">
      <c r="A31" s="11" t="s">
        <v>167</v>
      </c>
      <c r="B31" s="32" t="n">
        <v>0.5</v>
      </c>
      <c r="C31" s="28" t="n">
        <v>1500</v>
      </c>
      <c r="D31" s="29" t="n">
        <v>10</v>
      </c>
      <c r="E31" s="2" t="s">
        <v>168</v>
      </c>
    </row>
    <row r="32" customFormat="false" ht="15" hidden="false" customHeight="false" outlineLevel="0" collapsed="false">
      <c r="A32" s="11" t="s">
        <v>169</v>
      </c>
      <c r="B32" s="32" t="n">
        <v>0.3</v>
      </c>
      <c r="C32" s="28" t="n">
        <v>2200</v>
      </c>
      <c r="D32" s="29" t="n">
        <v>14</v>
      </c>
      <c r="E32" s="2" t="s">
        <v>170</v>
      </c>
    </row>
    <row r="33" customFormat="false" ht="15" hidden="false" customHeight="false" outlineLevel="0" collapsed="false">
      <c r="A33" s="11" t="s">
        <v>171</v>
      </c>
      <c r="B33" s="32" t="n">
        <v>0.15</v>
      </c>
      <c r="C33" s="28" t="n">
        <v>3000</v>
      </c>
      <c r="D33" s="29" t="n">
        <v>20</v>
      </c>
      <c r="E33" s="2" t="s">
        <v>172</v>
      </c>
    </row>
    <row r="34" customFormat="false" ht="15" hidden="false" customHeight="false" outlineLevel="0" collapsed="false">
      <c r="A34" s="11" t="s">
        <v>173</v>
      </c>
      <c r="B34" s="32" t="n">
        <v>0.05</v>
      </c>
      <c r="C34" s="28" t="n">
        <v>3500</v>
      </c>
      <c r="D34" s="29" t="n">
        <v>25</v>
      </c>
      <c r="E34" s="2" t="s">
        <v>174</v>
      </c>
    </row>
    <row r="35" customFormat="false" ht="15" hidden="false" customHeight="false" outlineLevel="0" collapsed="false">
      <c r="A35" s="33" t="s">
        <v>175</v>
      </c>
      <c r="B35" s="34" t="n">
        <f aca="false">SUM(B31:B34)</f>
        <v>1</v>
      </c>
      <c r="C35" s="35" t="n">
        <f aca="false">SUMPRODUCT(B31:B34,C31:C34)</f>
        <v>2035</v>
      </c>
      <c r="D35" s="36" t="n">
        <f aca="false">SUMPRODUCT(B31:B34,D31:D34)</f>
        <v>13.45</v>
      </c>
      <c r="E35" s="33" t="str">
        <f aca="false">IF(ABS(B35-1)&lt;0.0001,"OK: il mix somma 100%","ATTENZIONE: il mix deve sommare 100%")</f>
        <v>OK: il mix somma 100%</v>
      </c>
    </row>
    <row r="36" customFormat="false" ht="15" hidden="false" customHeight="false" outlineLevel="0" collapsed="false">
      <c r="A36" s="3" t="s">
        <v>176</v>
      </c>
      <c r="B36" s="4"/>
      <c r="C36" s="4"/>
      <c r="D36" s="4"/>
      <c r="E36" s="4"/>
    </row>
    <row r="37" customFormat="false" ht="15" hidden="false" customHeight="false" outlineLevel="0" collapsed="false">
      <c r="A37" s="11" t="s">
        <v>177</v>
      </c>
      <c r="B37" s="18" t="n">
        <f aca="false">C35</f>
        <v>2035</v>
      </c>
      <c r="C37" s="13" t="s">
        <v>53</v>
      </c>
    </row>
    <row r="38" customFormat="false" ht="15" hidden="false" customHeight="false" outlineLevel="0" collapsed="false">
      <c r="A38" s="11" t="s">
        <v>178</v>
      </c>
      <c r="B38" s="20" t="n">
        <f aca="false">D35</f>
        <v>13.45</v>
      </c>
      <c r="C38" s="13" t="s">
        <v>179</v>
      </c>
    </row>
    <row r="39" customFormat="false" ht="15" hidden="false" customHeight="false" outlineLevel="0" collapsed="false">
      <c r="A39" s="11" t="s">
        <v>180</v>
      </c>
      <c r="B39" s="20" t="n">
        <f aca="false">D35-B31*D31*B24</f>
        <v>11.95</v>
      </c>
      <c r="C39" s="13" t="s">
        <v>179</v>
      </c>
    </row>
    <row r="40" customFormat="false" ht="15" hidden="false" customHeight="false" outlineLevel="0" collapsed="false">
      <c r="A40" s="11" t="s">
        <v>181</v>
      </c>
      <c r="B40" s="18" t="n">
        <f aca="false">B38*B22</f>
        <v>605.25</v>
      </c>
      <c r="C40" s="13" t="s">
        <v>53</v>
      </c>
    </row>
    <row r="41" customFormat="false" ht="15" hidden="false" customHeight="false" outlineLevel="0" collapsed="false">
      <c r="A41" s="11" t="s">
        <v>182</v>
      </c>
      <c r="B41" s="18" t="n">
        <f aca="false">B37-B40</f>
        <v>1429.75</v>
      </c>
      <c r="C41" s="13" t="s">
        <v>53</v>
      </c>
    </row>
    <row r="42" customFormat="false" ht="15" hidden="false" customHeight="false" outlineLevel="0" collapsed="false">
      <c r="A42" s="11" t="s">
        <v>183</v>
      </c>
      <c r="B42" s="20" t="n">
        <f aca="false">IFERROR(B23/B38,0)</f>
        <v>8.92193308550186</v>
      </c>
      <c r="C42" s="13" t="s">
        <v>184</v>
      </c>
    </row>
    <row r="43" customFormat="false" ht="15" hidden="false" customHeight="false" outlineLevel="0" collapsed="false">
      <c r="A43" s="11" t="s">
        <v>185</v>
      </c>
      <c r="B43" s="20" t="n">
        <f aca="false">IFERROR(B23/B39,0)</f>
        <v>10.0418410041841</v>
      </c>
      <c r="C43" s="13" t="s">
        <v>184</v>
      </c>
    </row>
    <row r="45" customFormat="false" ht="15" hidden="false" customHeight="false" outlineLevel="0" collapsed="false">
      <c r="A45" s="3" t="s">
        <v>186</v>
      </c>
      <c r="B45" s="4"/>
      <c r="C45" s="4"/>
      <c r="D45" s="4"/>
      <c r="E45" s="4"/>
    </row>
    <row r="46" customFormat="false" ht="15" hidden="false" customHeight="false" outlineLevel="0" collapsed="false">
      <c r="A46" s="10" t="s">
        <v>187</v>
      </c>
      <c r="B46" s="10" t="s">
        <v>45</v>
      </c>
      <c r="C46" s="10" t="s">
        <v>46</v>
      </c>
      <c r="D46" s="10" t="s">
        <v>47</v>
      </c>
      <c r="E46" s="10" t="s">
        <v>166</v>
      </c>
    </row>
    <row r="47" customFormat="false" ht="15" hidden="false" customHeight="false" outlineLevel="0" collapsed="false">
      <c r="A47" s="11" t="s">
        <v>188</v>
      </c>
      <c r="B47" s="31" t="n">
        <v>2000</v>
      </c>
      <c r="C47" s="31" t="n">
        <v>6000</v>
      </c>
      <c r="D47" s="31" t="n">
        <v>15000</v>
      </c>
      <c r="E47" s="2" t="s">
        <v>189</v>
      </c>
    </row>
    <row r="48" customFormat="false" ht="15" hidden="false" customHeight="false" outlineLevel="0" collapsed="false">
      <c r="A48" s="11" t="s">
        <v>190</v>
      </c>
      <c r="B48" s="30" t="n">
        <v>0.25</v>
      </c>
      <c r="C48" s="30" t="n">
        <v>0.4</v>
      </c>
      <c r="D48" s="30" t="n">
        <v>0.5</v>
      </c>
      <c r="E48" s="2" t="s">
        <v>191</v>
      </c>
    </row>
    <row r="49" customFormat="false" ht="15" hidden="false" customHeight="false" outlineLevel="0" collapsed="false">
      <c r="A49" s="11" t="s">
        <v>192</v>
      </c>
      <c r="B49" s="37" t="n">
        <v>0.002</v>
      </c>
      <c r="C49" s="37" t="n">
        <v>0.003</v>
      </c>
      <c r="D49" s="37" t="n">
        <v>0.0035</v>
      </c>
      <c r="E49" s="2" t="s">
        <v>193</v>
      </c>
    </row>
    <row r="50" customFormat="false" ht="15" hidden="false" customHeight="false" outlineLevel="0" collapsed="false">
      <c r="A50" s="11" t="s">
        <v>194</v>
      </c>
      <c r="B50" s="30" t="n">
        <v>0.35</v>
      </c>
      <c r="C50" s="30" t="n">
        <v>0.4</v>
      </c>
      <c r="D50" s="30" t="n">
        <v>0.45</v>
      </c>
      <c r="E50" s="2" t="s">
        <v>195</v>
      </c>
    </row>
    <row r="51" customFormat="false" ht="15" hidden="false" customHeight="false" outlineLevel="0" collapsed="false">
      <c r="A51" s="11" t="s">
        <v>196</v>
      </c>
      <c r="B51" s="32" t="n">
        <v>0.55</v>
      </c>
      <c r="C51" s="32" t="n">
        <v>0.6</v>
      </c>
      <c r="D51" s="32" t="n">
        <v>0.6</v>
      </c>
      <c r="E51" s="2" t="s">
        <v>197</v>
      </c>
    </row>
    <row r="52" customFormat="false" ht="15" hidden="false" customHeight="false" outlineLevel="0" collapsed="false">
      <c r="A52" s="11" t="s">
        <v>198</v>
      </c>
      <c r="B52" s="25" t="n">
        <v>0</v>
      </c>
      <c r="C52" s="25" t="n">
        <v>1</v>
      </c>
      <c r="D52" s="25" t="n">
        <v>2</v>
      </c>
      <c r="E52" s="2" t="s">
        <v>199</v>
      </c>
    </row>
    <row r="53" customFormat="false" ht="15" hidden="false" customHeight="false" outlineLevel="0" collapsed="false">
      <c r="A53" s="11" t="s">
        <v>200</v>
      </c>
      <c r="B53" s="26" t="n">
        <v>0</v>
      </c>
      <c r="C53" s="26" t="n">
        <v>500</v>
      </c>
      <c r="D53" s="26" t="n">
        <v>1500</v>
      </c>
      <c r="E53" s="2" t="s">
        <v>201</v>
      </c>
    </row>
    <row r="54" customFormat="false" ht="15" hidden="false" customHeight="false" outlineLevel="0" collapsed="false">
      <c r="A54" s="11" t="s">
        <v>202</v>
      </c>
      <c r="B54" s="38" t="n">
        <f aca="false">B50*B51</f>
        <v>0.1925</v>
      </c>
      <c r="C54" s="38" t="n">
        <f aca="false">C50*C51</f>
        <v>0.24</v>
      </c>
      <c r="D54" s="38" t="n">
        <f aca="false">D50*D51</f>
        <v>0.27</v>
      </c>
      <c r="E54" s="2" t="s">
        <v>203</v>
      </c>
    </row>
    <row r="56" customFormat="false" ht="15" hidden="false" customHeight="false" outlineLevel="0" collapsed="false">
      <c r="A56" s="3" t="s">
        <v>204</v>
      </c>
      <c r="B56" s="4"/>
      <c r="C56" s="4"/>
      <c r="D56" s="4"/>
      <c r="E56" s="4"/>
    </row>
    <row r="57" customFormat="false" ht="15" hidden="false" customHeight="false" outlineLevel="0" collapsed="false">
      <c r="A57" s="10" t="s">
        <v>205</v>
      </c>
      <c r="B57" s="10" t="s">
        <v>206</v>
      </c>
    </row>
    <row r="58" customFormat="false" ht="15" hidden="false" customHeight="false" outlineLevel="0" collapsed="false">
      <c r="A58" s="11" t="s">
        <v>207</v>
      </c>
      <c r="B58" s="39" t="n">
        <v>0.9</v>
      </c>
      <c r="E58" s="2" t="s">
        <v>208</v>
      </c>
    </row>
    <row r="59" customFormat="false" ht="15" hidden="false" customHeight="false" outlineLevel="0" collapsed="false">
      <c r="A59" s="11" t="s">
        <v>209</v>
      </c>
      <c r="B59" s="39" t="n">
        <v>1</v>
      </c>
    </row>
    <row r="60" customFormat="false" ht="15" hidden="false" customHeight="false" outlineLevel="0" collapsed="false">
      <c r="A60" s="11" t="s">
        <v>210</v>
      </c>
      <c r="B60" s="39" t="n">
        <v>1.1</v>
      </c>
    </row>
    <row r="61" customFormat="false" ht="15" hidden="false" customHeight="false" outlineLevel="0" collapsed="false">
      <c r="A61" s="11" t="s">
        <v>211</v>
      </c>
      <c r="B61" s="39" t="n">
        <v>1.2</v>
      </c>
    </row>
    <row r="62" customFormat="false" ht="15" hidden="false" customHeight="false" outlineLevel="0" collapsed="false">
      <c r="A62" s="11" t="s">
        <v>212</v>
      </c>
      <c r="B62" s="39" t="n">
        <v>1.1</v>
      </c>
    </row>
    <row r="63" customFormat="false" ht="15" hidden="false" customHeight="false" outlineLevel="0" collapsed="false">
      <c r="A63" s="11" t="s">
        <v>213</v>
      </c>
      <c r="B63" s="39" t="n">
        <v>1</v>
      </c>
    </row>
    <row r="64" customFormat="false" ht="15" hidden="false" customHeight="false" outlineLevel="0" collapsed="false">
      <c r="A64" s="11" t="s">
        <v>214</v>
      </c>
      <c r="B64" s="39" t="n">
        <v>1</v>
      </c>
    </row>
    <row r="65" customFormat="false" ht="15" hidden="false" customHeight="false" outlineLevel="0" collapsed="false">
      <c r="A65" s="11" t="s">
        <v>215</v>
      </c>
      <c r="B65" s="39" t="n">
        <v>0.7</v>
      </c>
    </row>
    <row r="66" customFormat="false" ht="15" hidden="false" customHeight="false" outlineLevel="0" collapsed="false">
      <c r="A66" s="11" t="s">
        <v>216</v>
      </c>
      <c r="B66" s="39" t="n">
        <v>1.1</v>
      </c>
    </row>
    <row r="67" customFormat="false" ht="15" hidden="false" customHeight="false" outlineLevel="0" collapsed="false">
      <c r="A67" s="11" t="s">
        <v>217</v>
      </c>
      <c r="B67" s="39" t="n">
        <v>1.1</v>
      </c>
    </row>
    <row r="68" customFormat="false" ht="15" hidden="false" customHeight="false" outlineLevel="0" collapsed="false">
      <c r="A68" s="11" t="s">
        <v>218</v>
      </c>
      <c r="B68" s="39" t="n">
        <v>1</v>
      </c>
    </row>
    <row r="69" customFormat="false" ht="15" hidden="false" customHeight="false" outlineLevel="0" collapsed="false">
      <c r="A69" s="11" t="s">
        <v>219</v>
      </c>
      <c r="B69" s="39" t="n">
        <v>0.8</v>
      </c>
    </row>
    <row r="70" customFormat="false" ht="15" hidden="false" customHeight="false" outlineLevel="0" collapsed="false">
      <c r="A70" s="33" t="s">
        <v>220</v>
      </c>
      <c r="B70" s="40" t="n">
        <f aca="false">AVERAGE(B58:B69)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9"/>
    <col collapsed="false" customWidth="true" hidden="false" outlineLevel="0" max="8" min="4" style="0" width="12"/>
    <col collapsed="false" customWidth="true" hidden="false" outlineLevel="0" max="9" min="9" style="0" width="14"/>
    <col collapsed="false" customWidth="true" hidden="false" outlineLevel="0" max="12" min="10" style="0" width="13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15" hidden="false" customHeight="false" outlineLevel="0" collapsed="false">
      <c r="A4" s="3" t="s">
        <v>223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54" hidden="false" customHeight="true" outlineLevel="0" collapsed="false">
      <c r="A5" s="10" t="s">
        <v>224</v>
      </c>
      <c r="B5" s="10" t="s">
        <v>225</v>
      </c>
      <c r="C5" s="10" t="s">
        <v>226</v>
      </c>
      <c r="D5" s="10" t="s">
        <v>227</v>
      </c>
      <c r="E5" s="10" t="s">
        <v>228</v>
      </c>
      <c r="F5" s="10" t="s">
        <v>229</v>
      </c>
      <c r="G5" s="10" t="s">
        <v>230</v>
      </c>
      <c r="H5" s="10" t="s">
        <v>231</v>
      </c>
      <c r="I5" s="10" t="s">
        <v>232</v>
      </c>
      <c r="J5" s="10" t="s">
        <v>233</v>
      </c>
      <c r="K5" s="10" t="s">
        <v>234</v>
      </c>
      <c r="L5" s="10" t="s">
        <v>235</v>
      </c>
      <c r="M5" s="10" t="s">
        <v>236</v>
      </c>
    </row>
    <row r="6" customFormat="false" ht="15" hidden="false" customHeight="false" outlineLevel="0" collapsed="false">
      <c r="A6" s="11" t="s">
        <v>237</v>
      </c>
      <c r="B6" s="31" t="n">
        <v>1</v>
      </c>
      <c r="C6" s="25" t="n">
        <v>1</v>
      </c>
      <c r="D6" s="29" t="n">
        <v>3</v>
      </c>
      <c r="E6" s="41" t="n">
        <v>0</v>
      </c>
      <c r="F6" s="29" t="n">
        <v>0</v>
      </c>
      <c r="G6" s="26" t="n">
        <v>0</v>
      </c>
      <c r="H6" s="26" t="n">
        <v>0</v>
      </c>
      <c r="I6" s="32" t="n">
        <v>0.15</v>
      </c>
      <c r="J6" s="18" t="n">
        <f aca="false">B6*(D6*52/12*$B$15+F6*52/12*$B$17+G6+H6)</f>
        <v>325</v>
      </c>
      <c r="K6" s="18" t="n">
        <f aca="false">B6*E6*52/12*$B$16</f>
        <v>0</v>
      </c>
      <c r="L6" s="18" t="n">
        <f aca="false">(J6+K6)*12</f>
        <v>3900</v>
      </c>
      <c r="M6" s="2" t="s">
        <v>238</v>
      </c>
    </row>
    <row r="7" customFormat="false" ht="15" hidden="false" customHeight="false" outlineLevel="0" collapsed="false">
      <c r="A7" s="11" t="s">
        <v>239</v>
      </c>
      <c r="B7" s="31" t="n">
        <v>1</v>
      </c>
      <c r="C7" s="25" t="n">
        <v>4</v>
      </c>
      <c r="D7" s="29" t="n">
        <v>2</v>
      </c>
      <c r="E7" s="41" t="n">
        <v>1</v>
      </c>
      <c r="F7" s="29" t="n">
        <v>0</v>
      </c>
      <c r="G7" s="26" t="n">
        <v>0</v>
      </c>
      <c r="H7" s="26" t="n">
        <v>0</v>
      </c>
      <c r="I7" s="32" t="n">
        <v>0.05</v>
      </c>
      <c r="J7" s="18" t="n">
        <f aca="false">B7*(D7*52/12*$B$15+F7*52/12*$B$17+G7+H7)</f>
        <v>216.666666666667</v>
      </c>
      <c r="K7" s="18" t="n">
        <f aca="false">B7*E7*52/12*$B$16</f>
        <v>346.666666666667</v>
      </c>
      <c r="L7" s="18" t="n">
        <f aca="false">(J7+K7)*12</f>
        <v>6760</v>
      </c>
      <c r="M7" s="2" t="s">
        <v>240</v>
      </c>
    </row>
    <row r="8" customFormat="false" ht="15" hidden="false" customHeight="false" outlineLevel="0" collapsed="false">
      <c r="A8" s="11" t="s">
        <v>241</v>
      </c>
      <c r="B8" s="31" t="n">
        <v>1</v>
      </c>
      <c r="C8" s="25" t="n">
        <v>1</v>
      </c>
      <c r="D8" s="29" t="n">
        <v>0</v>
      </c>
      <c r="E8" s="41" t="n">
        <v>0.25</v>
      </c>
      <c r="F8" s="29" t="n">
        <v>1</v>
      </c>
      <c r="G8" s="26" t="n">
        <v>0</v>
      </c>
      <c r="H8" s="26" t="n">
        <v>0</v>
      </c>
      <c r="I8" s="32" t="n">
        <v>0.05</v>
      </c>
      <c r="J8" s="18" t="n">
        <f aca="false">B8*(D8*52/12*$B$15+F8*52/12*$B$17+G8+H8)</f>
        <v>86.6666666666667</v>
      </c>
      <c r="K8" s="18" t="n">
        <f aca="false">B8*E8*52/12*$B$16</f>
        <v>86.6666666666667</v>
      </c>
      <c r="L8" s="18" t="n">
        <f aca="false">(J8+K8)*12</f>
        <v>2080</v>
      </c>
      <c r="M8" s="2" t="s">
        <v>242</v>
      </c>
    </row>
    <row r="9" customFormat="false" ht="15" hidden="false" customHeight="false" outlineLevel="0" collapsed="false">
      <c r="A9" s="11" t="s">
        <v>243</v>
      </c>
      <c r="B9" s="31" t="n">
        <v>1</v>
      </c>
      <c r="C9" s="25" t="n">
        <v>1</v>
      </c>
      <c r="D9" s="29" t="n">
        <v>1</v>
      </c>
      <c r="E9" s="41" t="n">
        <v>0</v>
      </c>
      <c r="F9" s="29" t="n">
        <v>0</v>
      </c>
      <c r="G9" s="26" t="n">
        <v>0</v>
      </c>
      <c r="H9" s="26" t="n">
        <v>0</v>
      </c>
      <c r="I9" s="32" t="n">
        <v>0.05</v>
      </c>
      <c r="J9" s="18" t="n">
        <f aca="false">B9*(D9*52/12*$B$15+F9*52/12*$B$17+G9+H9)</f>
        <v>108.333333333333</v>
      </c>
      <c r="K9" s="18" t="n">
        <f aca="false">B9*E9*52/12*$B$16</f>
        <v>0</v>
      </c>
      <c r="L9" s="18" t="n">
        <f aca="false">(J9+K9)*12</f>
        <v>1300</v>
      </c>
      <c r="M9" s="2" t="s">
        <v>244</v>
      </c>
    </row>
    <row r="10" customFormat="false" ht="15" hidden="false" customHeight="false" outlineLevel="0" collapsed="false">
      <c r="A10" s="11" t="s">
        <v>245</v>
      </c>
      <c r="B10" s="31" t="n">
        <v>1</v>
      </c>
      <c r="C10" s="25" t="n">
        <v>1</v>
      </c>
      <c r="D10" s="29" t="n">
        <v>1</v>
      </c>
      <c r="E10" s="41" t="n">
        <v>0</v>
      </c>
      <c r="F10" s="29" t="n">
        <v>0</v>
      </c>
      <c r="G10" s="26" t="n">
        <v>0</v>
      </c>
      <c r="H10" s="26" t="n">
        <v>0</v>
      </c>
      <c r="I10" s="32" t="n">
        <v>0</v>
      </c>
      <c r="J10" s="18" t="n">
        <f aca="false">B10*(D10*52/12*$B$15+F10*52/12*$B$17+G10+H10)</f>
        <v>108.333333333333</v>
      </c>
      <c r="K10" s="18" t="n">
        <f aca="false">B10*E10*52/12*$B$16</f>
        <v>0</v>
      </c>
      <c r="L10" s="18" t="n">
        <f aca="false">(J10+K10)*12</f>
        <v>1300</v>
      </c>
      <c r="M10" s="2" t="s">
        <v>246</v>
      </c>
    </row>
    <row r="11" customFormat="false" ht="15" hidden="false" customHeight="false" outlineLevel="0" collapsed="false">
      <c r="A11" s="11" t="s">
        <v>247</v>
      </c>
      <c r="B11" s="31" t="n">
        <v>1</v>
      </c>
      <c r="C11" s="25" t="n">
        <v>1</v>
      </c>
      <c r="D11" s="29" t="n">
        <v>0</v>
      </c>
      <c r="E11" s="41" t="n">
        <v>0</v>
      </c>
      <c r="F11" s="29" t="n">
        <v>0</v>
      </c>
      <c r="G11" s="26" t="n">
        <v>0</v>
      </c>
      <c r="H11" s="26" t="n">
        <v>75</v>
      </c>
      <c r="I11" s="32" t="n">
        <v>0</v>
      </c>
      <c r="J11" s="18" t="n">
        <f aca="false">B11*(D11*52/12*$B$15+F11*52/12*$B$17+G11+H11)</f>
        <v>75</v>
      </c>
      <c r="K11" s="18" t="n">
        <f aca="false">B11*E11*52/12*$B$16</f>
        <v>0</v>
      </c>
      <c r="L11" s="18" t="n">
        <f aca="false">(J11+K11)*12</f>
        <v>900</v>
      </c>
      <c r="M11" s="2" t="s">
        <v>248</v>
      </c>
    </row>
    <row r="12" customFormat="false" ht="15" hidden="false" customHeight="false" outlineLevel="0" collapsed="false">
      <c r="A12" s="33" t="s">
        <v>249</v>
      </c>
      <c r="B12" s="42"/>
      <c r="C12" s="42"/>
      <c r="D12" s="42"/>
      <c r="E12" s="42"/>
      <c r="F12" s="42"/>
      <c r="G12" s="42"/>
      <c r="H12" s="42"/>
      <c r="I12" s="34" t="n">
        <f aca="false">SUMPRODUCT(B6:B11,I6:I11)</f>
        <v>0.3</v>
      </c>
      <c r="J12" s="35" t="n">
        <f aca="false">SUM(J6:J11)</f>
        <v>920</v>
      </c>
      <c r="K12" s="35" t="n">
        <f aca="false">SUM(K6:K11)</f>
        <v>433.333333333333</v>
      </c>
      <c r="L12" s="35" t="n">
        <f aca="false">SUM(L6:L11)</f>
        <v>16240</v>
      </c>
      <c r="M12" s="42"/>
    </row>
    <row r="15" customFormat="false" ht="15" hidden="false" customHeight="false" outlineLevel="0" collapsed="false">
      <c r="A15" s="11" t="s">
        <v>250</v>
      </c>
      <c r="B15" s="26" t="n">
        <v>25</v>
      </c>
      <c r="D15" s="2" t="s">
        <v>251</v>
      </c>
    </row>
    <row r="16" customFormat="false" ht="15" hidden="false" customHeight="false" outlineLevel="0" collapsed="false">
      <c r="A16" s="11" t="s">
        <v>252</v>
      </c>
      <c r="B16" s="14" t="n">
        <f aca="false">Ipotesi!B15</f>
        <v>80</v>
      </c>
    </row>
    <row r="17" customFormat="false" ht="15" hidden="false" customHeight="false" outlineLevel="0" collapsed="false">
      <c r="A17" s="11" t="s">
        <v>253</v>
      </c>
      <c r="B17" s="14" t="n">
        <f aca="false">Ipotesi!B17</f>
        <v>20</v>
      </c>
    </row>
    <row r="19" customFormat="false" ht="15" hidden="false" customHeight="false" outlineLevel="0" collapsed="false">
      <c r="A19" s="3" t="s">
        <v>254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42" hidden="false" customHeight="true" outlineLevel="0" collapsed="false">
      <c r="A20" s="10" t="s">
        <v>224</v>
      </c>
      <c r="B20" s="10" t="s">
        <v>255</v>
      </c>
      <c r="C20" s="10"/>
      <c r="D20" s="10" t="s">
        <v>256</v>
      </c>
      <c r="E20" s="10" t="s">
        <v>257</v>
      </c>
      <c r="F20" s="10" t="s">
        <v>258</v>
      </c>
      <c r="G20" s="10" t="s">
        <v>259</v>
      </c>
      <c r="H20" s="10" t="s">
        <v>260</v>
      </c>
      <c r="I20" s="10" t="s">
        <v>261</v>
      </c>
    </row>
    <row r="21" customFormat="false" ht="15" hidden="false" customHeight="false" outlineLevel="0" collapsed="false">
      <c r="A21" s="11" t="str">
        <f aca="false">A6</f>
        <v>Facebook</v>
      </c>
      <c r="B21" s="18" t="n">
        <f aca="false">L6</f>
        <v>3900</v>
      </c>
      <c r="D21" s="20" t="n">
        <f aca="false">B6*I6*SUMIFS('Scenario Medio'!$F$5:$F$40,'Scenario Medio'!$B$5:$B$40,2)</f>
        <v>39.1464909192438</v>
      </c>
      <c r="E21" s="18" t="n">
        <f aca="false">IF(D21=0,"-",B21/D21)</f>
        <v>99.6257878655177</v>
      </c>
      <c r="F21" s="20" t="n">
        <f aca="false">D21*Ipotesi!$C$54</f>
        <v>9.39515782061852</v>
      </c>
      <c r="G21" s="18" t="n">
        <f aca="false">F21*Ipotesi!$B$41</f>
        <v>13432.7268940293</v>
      </c>
      <c r="H21" s="18" t="n">
        <f aca="false">G21-B21</f>
        <v>9532.72689402932</v>
      </c>
      <c r="I21" s="11" t="str">
        <f aca="false">IF(B21=0,"Non attivo",IF(G21&gt;=1.5*B21,"Conviene",IF(G21&gt;=B21,"In pareggio","Non si ripaga da solo")))</f>
        <v>Conviene</v>
      </c>
    </row>
    <row r="22" customFormat="false" ht="15" hidden="false" customHeight="false" outlineLevel="0" collapsed="false">
      <c r="A22" s="11" t="str">
        <f aca="false">A7</f>
        <v>LinkedIn</v>
      </c>
      <c r="B22" s="18" t="n">
        <f aca="false">L7</f>
        <v>6760</v>
      </c>
      <c r="D22" s="20" t="n">
        <f aca="false">B7*I7*SUMIFS('Scenario Medio'!$F$5:$F$40,'Scenario Medio'!$B$5:$B$40,2)</f>
        <v>13.0488303064146</v>
      </c>
      <c r="E22" s="18" t="n">
        <f aca="false">IF(D22=0,"-",B22/D22)</f>
        <v>518.054096900692</v>
      </c>
      <c r="F22" s="20" t="n">
        <f aca="false">D22*Ipotesi!$C$54</f>
        <v>3.13171927353951</v>
      </c>
      <c r="G22" s="18" t="n">
        <f aca="false">F22*Ipotesi!$B$41</f>
        <v>4477.57563134311</v>
      </c>
      <c r="H22" s="18" t="n">
        <f aca="false">G22-B22</f>
        <v>-2282.42436865689</v>
      </c>
      <c r="I22" s="11" t="str">
        <f aca="false">IF(B22=0,"Non attivo",IF(G22&gt;=1.5*B22,"Conviene",IF(G22&gt;=B22,"In pareggio","Non si ripaga da solo")))</f>
        <v>Non si ripaga da solo</v>
      </c>
    </row>
    <row r="23" customFormat="false" ht="15" hidden="false" customHeight="false" outlineLevel="0" collapsed="false">
      <c r="A23" s="11" t="str">
        <f aca="false">A8</f>
        <v>Substack (newsletter)</v>
      </c>
      <c r="B23" s="18" t="n">
        <f aca="false">L8</f>
        <v>2080</v>
      </c>
      <c r="D23" s="20" t="n">
        <f aca="false">B8*I8*SUMIFS('Scenario Medio'!$F$5:$F$40,'Scenario Medio'!$B$5:$B$40,2)</f>
        <v>13.0488303064146</v>
      </c>
      <c r="E23" s="18" t="n">
        <f aca="false">IF(D23=0,"-",B23/D23)</f>
        <v>159.401260584828</v>
      </c>
      <c r="F23" s="20" t="n">
        <f aca="false">D23*Ipotesi!$C$54</f>
        <v>3.13171927353951</v>
      </c>
      <c r="G23" s="18" t="n">
        <f aca="false">F23*Ipotesi!$B$41</f>
        <v>4477.57563134311</v>
      </c>
      <c r="H23" s="18" t="n">
        <f aca="false">G23-B23</f>
        <v>2397.57563134311</v>
      </c>
      <c r="I23" s="11" t="str">
        <f aca="false">IF(B23=0,"Non attivo",IF(G23&gt;=1.5*B23,"Conviene",IF(G23&gt;=B23,"In pareggio","Non si ripaga da solo")))</f>
        <v>Conviene</v>
      </c>
    </row>
    <row r="24" customFormat="false" ht="15" hidden="false" customHeight="false" outlineLevel="0" collapsed="false">
      <c r="A24" s="11" t="str">
        <f aca="false">A9</f>
        <v>Instagram e TikTok</v>
      </c>
      <c r="B24" s="18" t="n">
        <f aca="false">L9</f>
        <v>1300</v>
      </c>
      <c r="D24" s="20" t="n">
        <f aca="false">B9*I9*SUMIFS('Scenario Medio'!$F$5:$F$40,'Scenario Medio'!$B$5:$B$40,2)</f>
        <v>13.0488303064146</v>
      </c>
      <c r="E24" s="18" t="n">
        <f aca="false">IF(D24=0,"-",B24/D24)</f>
        <v>99.6257878655177</v>
      </c>
      <c r="F24" s="20" t="n">
        <f aca="false">D24*Ipotesi!$C$54</f>
        <v>3.13171927353951</v>
      </c>
      <c r="G24" s="18" t="n">
        <f aca="false">F24*Ipotesi!$B$41</f>
        <v>4477.57563134311</v>
      </c>
      <c r="H24" s="18" t="n">
        <f aca="false">G24-B24</f>
        <v>3177.57563134311</v>
      </c>
      <c r="I24" s="11" t="str">
        <f aca="false">IF(B24=0,"Non attivo",IF(G24&gt;=1.5*B24,"Conviene",IF(G24&gt;=B24,"In pareggio","Non si ripaga da solo")))</f>
        <v>Conviene</v>
      </c>
    </row>
    <row r="25" customFormat="false" ht="15" hidden="false" customHeight="false" outlineLevel="0" collapsed="false">
      <c r="A25" s="11" t="str">
        <f aca="false">A10</f>
        <v>X</v>
      </c>
      <c r="B25" s="18" t="n">
        <f aca="false">L10</f>
        <v>1300</v>
      </c>
      <c r="D25" s="20" t="n">
        <f aca="false">B10*I10*SUMIFS('Scenario Medio'!$F$5:$F$40,'Scenario Medio'!$B$5:$B$40,2)</f>
        <v>0</v>
      </c>
      <c r="E25" s="18" t="str">
        <f aca="false">IF(D25=0,"-",B25/D25)</f>
        <v>-</v>
      </c>
      <c r="F25" s="20" t="n">
        <f aca="false">D25*Ipotesi!$C$54</f>
        <v>0</v>
      </c>
      <c r="G25" s="18" t="n">
        <f aca="false">F25*Ipotesi!$B$41</f>
        <v>0</v>
      </c>
      <c r="H25" s="18" t="n">
        <f aca="false">G25-B25</f>
        <v>-1300</v>
      </c>
      <c r="I25" s="11" t="str">
        <f aca="false">IF(B25=0,"Non attivo",IF(G25&gt;=1.5*B25,"Conviene",IF(G25&gt;=B25,"In pareggio","Non si ripaga da solo")))</f>
        <v>Non si ripaga da solo</v>
      </c>
    </row>
    <row r="26" customFormat="false" ht="15" hidden="false" customHeight="false" outlineLevel="0" collapsed="false">
      <c r="A26" s="11" t="str">
        <f aca="false">A11</f>
        <v>Strumenti comuni</v>
      </c>
      <c r="B26" s="18" t="n">
        <f aca="false">L11</f>
        <v>900</v>
      </c>
      <c r="D26" s="20" t="n">
        <f aca="false">B11*I11*SUMIFS('Scenario Medio'!$F$5:$F$40,'Scenario Medio'!$B$5:$B$40,2)</f>
        <v>0</v>
      </c>
      <c r="E26" s="18" t="str">
        <f aca="false">IF(D26=0,"-",B26/D26)</f>
        <v>-</v>
      </c>
      <c r="F26" s="20" t="n">
        <f aca="false">D26*Ipotesi!$C$54</f>
        <v>0</v>
      </c>
      <c r="G26" s="18" t="n">
        <f aca="false">F26*Ipotesi!$B$41</f>
        <v>0</v>
      </c>
      <c r="H26" s="18" t="n">
        <f aca="false">G26-B26</f>
        <v>-900</v>
      </c>
      <c r="I26" s="11" t="s">
        <v>262</v>
      </c>
    </row>
    <row r="27" customFormat="false" ht="15" hidden="false" customHeight="false" outlineLevel="0" collapsed="false">
      <c r="A27" s="33" t="s">
        <v>73</v>
      </c>
      <c r="B27" s="35" t="n">
        <f aca="false">SUM(B21:B26)</f>
        <v>16240</v>
      </c>
      <c r="C27" s="42"/>
      <c r="D27" s="36" t="n">
        <f aca="false">SUM(D21:D26)</f>
        <v>78.2929818384876</v>
      </c>
      <c r="E27" s="35" t="n">
        <f aca="false">IF(D27=0,"-",B27/D27)</f>
        <v>207.42599935077</v>
      </c>
      <c r="F27" s="36" t="n">
        <f aca="false">SUM(F21:F26)</f>
        <v>18.790315641237</v>
      </c>
      <c r="G27" s="35" t="n">
        <f aca="false">SUM(G21:G26)</f>
        <v>26865.4537880586</v>
      </c>
      <c r="H27" s="35" t="n">
        <f aca="false">SUM(H21:H26)</f>
        <v>10625.4537880587</v>
      </c>
      <c r="I27" s="33" t="str">
        <f aca="false">IF(G27&gt;=1.5*B27,"Conviene",IF(G27&gt;=B27,"In pareggio","Non si ripaga"))</f>
        <v>Conviene</v>
      </c>
    </row>
    <row r="28" customFormat="false" ht="15" hidden="false" customHeight="false" outlineLevel="0" collapsed="false">
      <c r="A28" s="2" t="s">
        <v>263</v>
      </c>
    </row>
    <row r="30" customFormat="false" ht="15" hidden="false" customHeight="false" outlineLevel="0" collapsed="false">
      <c r="A30" s="3" t="s">
        <v>264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42" hidden="false" customHeight="true" outlineLevel="0" collapsed="false">
      <c r="A31" s="10" t="s">
        <v>265</v>
      </c>
      <c r="B31" s="10" t="s">
        <v>255</v>
      </c>
      <c r="C31" s="10"/>
      <c r="D31" s="10" t="s">
        <v>266</v>
      </c>
      <c r="E31" s="10" t="s">
        <v>267</v>
      </c>
      <c r="F31" s="10"/>
      <c r="G31" s="10"/>
      <c r="H31" s="10"/>
      <c r="I31" s="10" t="s">
        <v>268</v>
      </c>
    </row>
    <row r="32" customFormat="false" ht="15" hidden="false" customHeight="false" outlineLevel="0" collapsed="false">
      <c r="A32" s="11" t="s">
        <v>269</v>
      </c>
      <c r="B32" s="18" t="n">
        <f aca="false">SUMIFS('Scenario Medio'!$Q$5:$Q$40,'Scenario Medio'!$B$5:$B$40,2)+SUMIFS('Scenario Medio'!$R$5:$R$40,'Scenario Medio'!$B$5:$B$40,2)</f>
        <v>19920</v>
      </c>
      <c r="D32" s="18" t="n">
        <f aca="false">B32-$B$32</f>
        <v>0</v>
      </c>
      <c r="E32" s="20" t="n">
        <f aca="false">IFERROR(D32/Ipotesi!$B$41,0)</f>
        <v>0</v>
      </c>
      <c r="I32" s="2" t="s">
        <v>270</v>
      </c>
    </row>
    <row r="33" customFormat="false" ht="15" hidden="false" customHeight="false" outlineLevel="0" collapsed="false">
      <c r="A33" s="5" t="s">
        <v>271</v>
      </c>
      <c r="B33" s="43" t="n">
        <f aca="false">B32+L12</f>
        <v>36160</v>
      </c>
      <c r="D33" s="18" t="n">
        <f aca="false">B33-$B$32</f>
        <v>16240</v>
      </c>
      <c r="E33" s="20" t="n">
        <f aca="false">IFERROR(D33/Ipotesi!$B$41,0)</f>
        <v>11.358629130967</v>
      </c>
      <c r="I33" s="2" t="s">
        <v>272</v>
      </c>
    </row>
    <row r="34" customFormat="false" ht="15" hidden="false" customHeight="false" outlineLevel="0" collapsed="false">
      <c r="A34" s="11" t="s">
        <v>273</v>
      </c>
      <c r="B34" s="26" t="n">
        <v>80000</v>
      </c>
      <c r="D34" s="18" t="n">
        <f aca="false">B34-$B$32</f>
        <v>60080</v>
      </c>
      <c r="E34" s="20" t="n">
        <f aca="false">IFERROR(D34/Ipotesi!$B$41,0)</f>
        <v>42.0213324007694</v>
      </c>
      <c r="I34" s="2" t="s">
        <v>274</v>
      </c>
    </row>
    <row r="35" customFormat="false" ht="15" hidden="false" customHeight="false" outlineLevel="0" collapsed="false">
      <c r="A35" s="11" t="s">
        <v>275</v>
      </c>
      <c r="B35" s="26" t="n">
        <v>120000</v>
      </c>
      <c r="D35" s="18" t="n">
        <f aca="false">B35-$B$32</f>
        <v>100080</v>
      </c>
      <c r="E35" s="20" t="n">
        <f aca="false">IFERROR(D35/Ipotesi!$B$41,0)</f>
        <v>69.9982514425599</v>
      </c>
      <c r="I35" s="2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5" min="13" style="0" width="13"/>
    <col collapsed="false" customWidth="true" hidden="false" outlineLevel="0" max="18" min="16" style="0" width="14"/>
    <col collapsed="false" customWidth="true" hidden="false" outlineLevel="0" max="19" min="19" style="0" width="15"/>
    <col collapsed="false" customWidth="true" hidden="false" outlineLevel="0" max="21" min="20" style="0" width="14"/>
    <col collapsed="false" customWidth="true" hidden="false" outlineLevel="0" max="23" min="22" style="0" width="13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9" min="26" style="0" width="12"/>
    <col collapsed="false" customWidth="true" hidden="false" outlineLevel="0" max="30" min="30" style="0" width="14"/>
    <col collapsed="false" customWidth="true" hidden="false" outlineLevel="0" max="32" min="31" style="0" width="13"/>
    <col collapsed="false" customWidth="true" hidden="false" outlineLevel="0" max="35" min="33" style="0" width="14"/>
    <col collapsed="false" customWidth="true" hidden="false" outlineLevel="0" max="36" min="36" style="0" width="15"/>
    <col collapsed="false" customWidth="true" hidden="false" outlineLevel="0" max="37" min="37" style="0" width="14"/>
    <col collapsed="false" customWidth="true" hidden="false" outlineLevel="0" max="38" min="38" style="0" width="15"/>
    <col collapsed="false" customWidth="true" hidden="false" outlineLevel="0" max="39" min="39" style="0" width="11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42" hidden="false" customHeight="true" outlineLevel="0" collapsed="false">
      <c r="A4" s="10" t="s">
        <v>104</v>
      </c>
      <c r="B4" s="10" t="s">
        <v>279</v>
      </c>
      <c r="C4" s="10" t="s">
        <v>280</v>
      </c>
      <c r="D4" s="10" t="s">
        <v>281</v>
      </c>
      <c r="E4" s="10" t="s">
        <v>74</v>
      </c>
      <c r="F4" s="10" t="s">
        <v>75</v>
      </c>
      <c r="G4" s="10" t="s">
        <v>76</v>
      </c>
      <c r="H4" s="10" t="s">
        <v>282</v>
      </c>
      <c r="I4" s="10" t="s">
        <v>283</v>
      </c>
      <c r="J4" s="10" t="s">
        <v>49</v>
      </c>
      <c r="K4" s="10" t="s">
        <v>77</v>
      </c>
      <c r="L4" s="10" t="s">
        <v>284</v>
      </c>
      <c r="M4" s="10" t="s">
        <v>285</v>
      </c>
      <c r="N4" s="10" t="s">
        <v>286</v>
      </c>
      <c r="O4" s="10" t="s">
        <v>287</v>
      </c>
      <c r="P4" s="10" t="s">
        <v>78</v>
      </c>
      <c r="Q4" s="10" t="s">
        <v>79</v>
      </c>
      <c r="R4" s="10" t="s">
        <v>288</v>
      </c>
      <c r="S4" s="10" t="s">
        <v>81</v>
      </c>
      <c r="T4" s="10" t="s">
        <v>82</v>
      </c>
      <c r="U4" s="10" t="s">
        <v>289</v>
      </c>
      <c r="V4" s="10" t="s">
        <v>83</v>
      </c>
      <c r="W4" s="10" t="s">
        <v>84</v>
      </c>
      <c r="X4" s="10" t="s">
        <v>290</v>
      </c>
      <c r="Y4" s="44" t="s">
        <v>291</v>
      </c>
      <c r="Z4" s="10" t="s">
        <v>292</v>
      </c>
      <c r="AA4" s="10" t="s">
        <v>293</v>
      </c>
      <c r="AB4" s="10" t="s">
        <v>294</v>
      </c>
      <c r="AC4" s="10" t="s">
        <v>295</v>
      </c>
      <c r="AD4" s="10" t="s">
        <v>296</v>
      </c>
      <c r="AE4" s="10" t="s">
        <v>297</v>
      </c>
      <c r="AF4" s="10" t="s">
        <v>298</v>
      </c>
      <c r="AG4" s="10" t="s">
        <v>299</v>
      </c>
      <c r="AH4" s="10" t="s">
        <v>300</v>
      </c>
      <c r="AI4" s="10" t="s">
        <v>301</v>
      </c>
      <c r="AJ4" s="10" t="s">
        <v>302</v>
      </c>
      <c r="AK4" s="10" t="s">
        <v>303</v>
      </c>
      <c r="AL4" s="10" t="s">
        <v>304</v>
      </c>
      <c r="AM4" s="44" t="s">
        <v>305</v>
      </c>
    </row>
    <row r="5" customFormat="false" ht="15" hidden="false" customHeight="false" outlineLevel="0" collapsed="false">
      <c r="A5" s="25" t="n">
        <v>1</v>
      </c>
      <c r="B5" s="45" t="n">
        <f aca="false">INT((A5-1)/12)+1</f>
        <v>1</v>
      </c>
      <c r="C5" s="45" t="n">
        <f aca="false">MOD(Ipotesi!$B$7-1+A5-1,12)+1</f>
        <v>11</v>
      </c>
      <c r="D5" s="46" t="n">
        <f aca="false">INDEX(Ipotesi!$B$58:$B$69,C5)</f>
        <v>1</v>
      </c>
      <c r="E5" s="45" t="n">
        <f aca="false">Ipotesi!$B$47*MIN(1,(A5/Ipotesi!$B$18)^2)*(1+Ipotesi!$B$48)^(MAX(0,A5-12)/12)*D5</f>
        <v>55.5555555555556</v>
      </c>
      <c r="F5" s="20" t="n">
        <f aca="false">E5*Ipotesi!$B$49</f>
        <v>0.111111111111111</v>
      </c>
      <c r="G5" s="20" t="n">
        <f aca="false">F5*Ipotesi!$B$50</f>
        <v>0.0388888888888889</v>
      </c>
      <c r="H5" s="20" t="n">
        <f aca="false">G5*Ipotesi!$B$51</f>
        <v>0.0213888888888889</v>
      </c>
      <c r="I5" s="20" t="n">
        <f aca="false">IF(A5&lt;=12,Ipotesi!$B$42,Ipotesi!$B$43)</f>
        <v>8.92193308550186</v>
      </c>
      <c r="J5" s="20" t="n">
        <f aca="false">MIN(H5,I5)</f>
        <v>0.0213888888888889</v>
      </c>
      <c r="K5" s="20" t="n">
        <f aca="false">H5-J5</f>
        <v>0</v>
      </c>
      <c r="L5" s="18" t="n">
        <f aca="false">J5*Ipotesi!$B$37</f>
        <v>43.5263888888889</v>
      </c>
      <c r="M5" s="18" t="n">
        <f aca="false">(G5-J5)*Ipotesi!$B$19</f>
        <v>1.75</v>
      </c>
      <c r="N5" s="18" t="n">
        <f aca="false">IF(A5&gt;=Ipotesi!$B$26,Ipotesi!$B$52*Ipotesi!$B$25/12,0)</f>
        <v>0</v>
      </c>
      <c r="O5" s="18" t="n">
        <f aca="false">IF(A5&gt;=Ipotesi!$B$27,Ipotesi!$B$53,0)</f>
        <v>0</v>
      </c>
      <c r="P5" s="18" t="n">
        <f aca="false">SUM(L5:O5)</f>
        <v>45.2763888888889</v>
      </c>
      <c r="Q5" s="18" t="n">
        <f aca="false">IF(A5=1,Ipotesi!$B$10+Ipotesi!$B$11,0)+Ipotesi!$B$8*Ipotesi!$B$9+Ipotesi!$B$12+Ipotesi!$B$13+Ipotesi!$B$16*52/12*Ipotesi!$B$17</f>
        <v>2820</v>
      </c>
      <c r="R5" s="18" t="n">
        <f aca="false">Ipotesi!$B$14*52/12*Ipotesi!$B$15</f>
        <v>1040</v>
      </c>
      <c r="S5" s="18" t="n">
        <f aca="false">J5*IF(A5&lt;=12,Ipotesi!$B$38,Ipotesi!$B$39)*Ipotesi!$B$22</f>
        <v>12.945625</v>
      </c>
      <c r="T5" s="18" t="n">
        <f aca="false">P5-Q5-R5-S5</f>
        <v>-3827.66923611111</v>
      </c>
      <c r="U5" s="18" t="n">
        <f aca="false">T5</f>
        <v>-3827.66923611111</v>
      </c>
      <c r="V5" s="18" t="n">
        <f aca="false">L5*Ipotesi!$B$20+IF(A5&gt;Ipotesi!$B$21,INDEX($L$5:$L$40,A5-Ipotesi!$B$21)*(1-Ipotesi!$B$20),0)+M5+N5+O5</f>
        <v>23.5131944444444</v>
      </c>
      <c r="W5" s="18" t="n">
        <f aca="false">V5-Q5-S5</f>
        <v>-2809.43243055556</v>
      </c>
      <c r="X5" s="18" t="n">
        <f aca="false">W5</f>
        <v>-2809.43243055556</v>
      </c>
      <c r="Y5" s="45" t="n">
        <f aca="false">IF(U5&gt;=0,A5,999)</f>
        <v>999</v>
      </c>
      <c r="Z5" s="20" t="n">
        <f aca="false">F5*SUMPRODUCT((Social!$C$6:$C$11&lt;=A5)*Social!$B$6:$B$11*Social!$I$6:$I$11)</f>
        <v>0.0277777777777778</v>
      </c>
      <c r="AA5" s="20" t="n">
        <f aca="false">Z5*Ipotesi!$B$50</f>
        <v>0.00972222222222222</v>
      </c>
      <c r="AB5" s="20" t="n">
        <f aca="false">AA5*Ipotesi!$B$51</f>
        <v>0.00534722222222222</v>
      </c>
      <c r="AC5" s="20" t="n">
        <f aca="false">MIN(AB5,MAX(0,I5-J5))</f>
        <v>0.00534722222222222</v>
      </c>
      <c r="AD5" s="18" t="n">
        <f aca="false">AC5*Ipotesi!$B$37+(AA5-AC5)*Ipotesi!$B$19</f>
        <v>11.3190972222222</v>
      </c>
      <c r="AE5" s="18" t="n">
        <f aca="false">SUMPRODUCT((Social!$C$6:$C$11&lt;=A5)*Social!$J$6:$J$11)</f>
        <v>703.333333333333</v>
      </c>
      <c r="AF5" s="18" t="n">
        <f aca="false">SUMPRODUCT((Social!$C$6:$C$11&lt;=A5)*Social!$K$6:$K$11)</f>
        <v>86.6666666666667</v>
      </c>
      <c r="AG5" s="18" t="n">
        <f aca="false">AC5*IF(A5&lt;=12,Ipotesi!$B$38,Ipotesi!$B$39)*Ipotesi!$B$22</f>
        <v>3.23640625</v>
      </c>
      <c r="AH5" s="18" t="n">
        <f aca="false">AD5-AE5-AF5-AG5</f>
        <v>-781.917309027778</v>
      </c>
      <c r="AI5" s="18" t="n">
        <f aca="false">AH5</f>
        <v>-781.917309027778</v>
      </c>
      <c r="AJ5" s="18" t="n">
        <f aca="false">U5+AI5</f>
        <v>-4609.58654513889</v>
      </c>
      <c r="AK5" s="18" t="n">
        <f aca="false">AC5*Ipotesi!$B$37*Ipotesi!$B$20+IF(A5&gt;Ipotesi!$B$21,INDEX($AC$5:$AC$40,A5-Ipotesi!$B$21)*Ipotesi!$B$37*(1-Ipotesi!$B$20),0)+(AA5-AC5)*Ipotesi!$B$19</f>
        <v>5.87829861111111</v>
      </c>
      <c r="AL5" s="18" t="n">
        <f aca="false">X5+SUM($AK$5:AK5)-SUM($AE$5:AE5)-SUM($AG$5:AG5)</f>
        <v>-3510.12387152778</v>
      </c>
      <c r="AM5" s="45" t="n">
        <f aca="false">IF(AJ5&gt;=0,A5,999)</f>
        <v>999</v>
      </c>
    </row>
    <row r="6" customFormat="false" ht="15" hidden="false" customHeight="false" outlineLevel="0" collapsed="false">
      <c r="A6" s="25" t="n">
        <v>2</v>
      </c>
      <c r="B6" s="45" t="n">
        <f aca="false">INT((A6-1)/12)+1</f>
        <v>1</v>
      </c>
      <c r="C6" s="45" t="n">
        <f aca="false">MOD(Ipotesi!$B$7-1+A6-1,12)+1</f>
        <v>12</v>
      </c>
      <c r="D6" s="46" t="n">
        <f aca="false">INDEX(Ipotesi!$B$58:$B$69,C6)</f>
        <v>0.8</v>
      </c>
      <c r="E6" s="45" t="n">
        <f aca="false">Ipotesi!$B$47*MIN(1,(A6/Ipotesi!$B$18)^2)*(1+Ipotesi!$B$48)^(MAX(0,A6-12)/12)*D6</f>
        <v>177.777777777778</v>
      </c>
      <c r="F6" s="20" t="n">
        <f aca="false">E6*Ipotesi!$B$49</f>
        <v>0.355555555555556</v>
      </c>
      <c r="G6" s="20" t="n">
        <f aca="false">F6*Ipotesi!$B$50</f>
        <v>0.124444444444444</v>
      </c>
      <c r="H6" s="20" t="n">
        <f aca="false">G6*Ipotesi!$B$51</f>
        <v>0.0684444444444445</v>
      </c>
      <c r="I6" s="20" t="n">
        <f aca="false">IF(A6&lt;=12,Ipotesi!$B$42,Ipotesi!$B$43)</f>
        <v>8.92193308550186</v>
      </c>
      <c r="J6" s="20" t="n">
        <f aca="false">MIN(H6,I6)</f>
        <v>0.0684444444444445</v>
      </c>
      <c r="K6" s="20" t="n">
        <f aca="false">H6-J6</f>
        <v>0</v>
      </c>
      <c r="L6" s="18" t="n">
        <f aca="false">J6*Ipotesi!$B$37</f>
        <v>139.284444444444</v>
      </c>
      <c r="M6" s="18" t="n">
        <f aca="false">(G6-J6)*Ipotesi!$B$19</f>
        <v>5.6</v>
      </c>
      <c r="N6" s="18" t="n">
        <f aca="false">IF(A6&gt;=Ipotesi!$B$26,Ipotesi!$B$52*Ipotesi!$B$25/12,0)</f>
        <v>0</v>
      </c>
      <c r="O6" s="18" t="n">
        <f aca="false">IF(A6&gt;=Ipotesi!$B$27,Ipotesi!$B$53,0)</f>
        <v>0</v>
      </c>
      <c r="P6" s="18" t="n">
        <f aca="false">SUM(L6:O6)</f>
        <v>144.884444444444</v>
      </c>
      <c r="Q6" s="18" t="n">
        <f aca="false">IF(A6=1,Ipotesi!$B$10+Ipotesi!$B$11,0)+Ipotesi!$B$8*Ipotesi!$B$9+Ipotesi!$B$12+Ipotesi!$B$13+Ipotesi!$B$16*52/12*Ipotesi!$B$17</f>
        <v>620</v>
      </c>
      <c r="R6" s="18" t="n">
        <f aca="false">Ipotesi!$B$14*52/12*Ipotesi!$B$15</f>
        <v>1040</v>
      </c>
      <c r="S6" s="18" t="n">
        <f aca="false">J6*IF(A6&lt;=12,Ipotesi!$B$38,Ipotesi!$B$39)*Ipotesi!$B$22</f>
        <v>41.426</v>
      </c>
      <c r="T6" s="18" t="n">
        <f aca="false">P6-Q6-R6-S6</f>
        <v>-1556.54155555556</v>
      </c>
      <c r="U6" s="18" t="n">
        <f aca="false">U5+T6</f>
        <v>-5384.21079166667</v>
      </c>
      <c r="V6" s="18" t="n">
        <f aca="false">L6*Ipotesi!$B$20+IF(A6&gt;Ipotesi!$B$21,INDEX($L$5:$L$40,A6-Ipotesi!$B$21)*(1-Ipotesi!$B$20),0)+M6+N6+O6</f>
        <v>75.2422222222222</v>
      </c>
      <c r="W6" s="18" t="n">
        <f aca="false">V6-Q6-S6</f>
        <v>-586.183777777778</v>
      </c>
      <c r="X6" s="18" t="n">
        <f aca="false">X5+W6</f>
        <v>-3395.61620833333</v>
      </c>
      <c r="Y6" s="45" t="n">
        <f aca="false">IF(U6&gt;=0,A6,999)</f>
        <v>999</v>
      </c>
      <c r="Z6" s="20" t="n">
        <f aca="false">F6*SUMPRODUCT((Social!$C$6:$C$11&lt;=A6)*Social!$B$6:$B$11*Social!$I$6:$I$11)</f>
        <v>0.0888888888888889</v>
      </c>
      <c r="AA6" s="20" t="n">
        <f aca="false">Z6*Ipotesi!$B$50</f>
        <v>0.0311111111111111</v>
      </c>
      <c r="AB6" s="20" t="n">
        <f aca="false">AA6*Ipotesi!$B$51</f>
        <v>0.0171111111111111</v>
      </c>
      <c r="AC6" s="20" t="n">
        <f aca="false">MIN(AB6,MAX(0,I6-J6))</f>
        <v>0.0171111111111111</v>
      </c>
      <c r="AD6" s="18" t="n">
        <f aca="false">AC6*Ipotesi!$B$37+(AA6-AC6)*Ipotesi!$B$19</f>
        <v>36.2211111111111</v>
      </c>
      <c r="AE6" s="18" t="n">
        <f aca="false">SUMPRODUCT((Social!$C$6:$C$11&lt;=A6)*Social!$J$6:$J$11)</f>
        <v>703.333333333333</v>
      </c>
      <c r="AF6" s="18" t="n">
        <f aca="false">SUMPRODUCT((Social!$C$6:$C$11&lt;=A6)*Social!$K$6:$K$11)</f>
        <v>86.6666666666667</v>
      </c>
      <c r="AG6" s="18" t="n">
        <f aca="false">AC6*IF(A6&lt;=12,Ipotesi!$B$38,Ipotesi!$B$39)*Ipotesi!$B$22</f>
        <v>10.3565</v>
      </c>
      <c r="AH6" s="18" t="n">
        <f aca="false">AD6-AE6-AF6-AG6</f>
        <v>-764.135388888889</v>
      </c>
      <c r="AI6" s="18" t="n">
        <f aca="false">AI5+AH6</f>
        <v>-1546.05269791667</v>
      </c>
      <c r="AJ6" s="18" t="n">
        <f aca="false">U6+AI6</f>
        <v>-6930.26348958333</v>
      </c>
      <c r="AK6" s="18" t="n">
        <f aca="false">AC6*Ipotesi!$B$37*Ipotesi!$B$20+IF(A6&gt;Ipotesi!$B$21,INDEX($AC$5:$AC$40,A6-Ipotesi!$B$21)*Ipotesi!$B$37*(1-Ipotesi!$B$20),0)+(AA6-AC6)*Ipotesi!$B$19</f>
        <v>18.8105555555556</v>
      </c>
      <c r="AL6" s="18" t="n">
        <f aca="false">X6+SUM($AK$5:AK6)-SUM($AE$5:AE6)-SUM($AG$5:AG6)</f>
        <v>-4791.18692708333</v>
      </c>
      <c r="AM6" s="45" t="n">
        <f aca="false">IF(AJ6&gt;=0,A6,999)</f>
        <v>999</v>
      </c>
    </row>
    <row r="7" customFormat="false" ht="15" hidden="false" customHeight="false" outlineLevel="0" collapsed="false">
      <c r="A7" s="25" t="n">
        <v>3</v>
      </c>
      <c r="B7" s="45" t="n">
        <f aca="false">INT((A7-1)/12)+1</f>
        <v>1</v>
      </c>
      <c r="C7" s="45" t="n">
        <f aca="false">MOD(Ipotesi!$B$7-1+A7-1,12)+1</f>
        <v>1</v>
      </c>
      <c r="D7" s="46" t="n">
        <f aca="false">INDEX(Ipotesi!$B$58:$B$69,C7)</f>
        <v>0.9</v>
      </c>
      <c r="E7" s="45" t="n">
        <f aca="false">Ipotesi!$B$47*MIN(1,(A7/Ipotesi!$B$18)^2)*(1+Ipotesi!$B$48)^(MAX(0,A7-12)/12)*D7</f>
        <v>450</v>
      </c>
      <c r="F7" s="20" t="n">
        <f aca="false">E7*Ipotesi!$B$49</f>
        <v>0.9</v>
      </c>
      <c r="G7" s="20" t="n">
        <f aca="false">F7*Ipotesi!$B$50</f>
        <v>0.315</v>
      </c>
      <c r="H7" s="20" t="n">
        <f aca="false">G7*Ipotesi!$B$51</f>
        <v>0.17325</v>
      </c>
      <c r="I7" s="20" t="n">
        <f aca="false">IF(A7&lt;=12,Ipotesi!$B$42,Ipotesi!$B$43)</f>
        <v>8.92193308550186</v>
      </c>
      <c r="J7" s="20" t="n">
        <f aca="false">MIN(H7,I7)</f>
        <v>0.17325</v>
      </c>
      <c r="K7" s="20" t="n">
        <f aca="false">H7-J7</f>
        <v>0</v>
      </c>
      <c r="L7" s="18" t="n">
        <f aca="false">J7*Ipotesi!$B$37</f>
        <v>352.56375</v>
      </c>
      <c r="M7" s="18" t="n">
        <f aca="false">(G7-J7)*Ipotesi!$B$19</f>
        <v>14.175</v>
      </c>
      <c r="N7" s="18" t="n">
        <f aca="false">IF(A7&gt;=Ipotesi!$B$26,Ipotesi!$B$52*Ipotesi!$B$25/12,0)</f>
        <v>0</v>
      </c>
      <c r="O7" s="18" t="n">
        <f aca="false">IF(A7&gt;=Ipotesi!$B$27,Ipotesi!$B$53,0)</f>
        <v>0</v>
      </c>
      <c r="P7" s="18" t="n">
        <f aca="false">SUM(L7:O7)</f>
        <v>366.73875</v>
      </c>
      <c r="Q7" s="18" t="n">
        <f aca="false">IF(A7=1,Ipotesi!$B$10+Ipotesi!$B$11,0)+Ipotesi!$B$8*Ipotesi!$B$9+Ipotesi!$B$12+Ipotesi!$B$13+Ipotesi!$B$16*52/12*Ipotesi!$B$17</f>
        <v>620</v>
      </c>
      <c r="R7" s="18" t="n">
        <f aca="false">Ipotesi!$B$14*52/12*Ipotesi!$B$15</f>
        <v>1040</v>
      </c>
      <c r="S7" s="18" t="n">
        <f aca="false">J7*IF(A7&lt;=12,Ipotesi!$B$38,Ipotesi!$B$39)*Ipotesi!$B$22</f>
        <v>104.8595625</v>
      </c>
      <c r="T7" s="18" t="n">
        <f aca="false">P7-Q7-R7-S7</f>
        <v>-1398.1208125</v>
      </c>
      <c r="U7" s="18" t="n">
        <f aca="false">U6+T7</f>
        <v>-6782.33160416667</v>
      </c>
      <c r="V7" s="18" t="n">
        <f aca="false">L7*Ipotesi!$B$20+IF(A7&gt;Ipotesi!$B$21,INDEX($L$5:$L$40,A7-Ipotesi!$B$21)*(1-Ipotesi!$B$20),0)+M7+N7+O7</f>
        <v>190.456875</v>
      </c>
      <c r="W7" s="18" t="n">
        <f aca="false">V7-Q7-S7</f>
        <v>-534.4026875</v>
      </c>
      <c r="X7" s="18" t="n">
        <f aca="false">X6+W7</f>
        <v>-3930.01889583333</v>
      </c>
      <c r="Y7" s="45" t="n">
        <f aca="false">IF(U7&gt;=0,A7,999)</f>
        <v>999</v>
      </c>
      <c r="Z7" s="20" t="n">
        <f aca="false">F7*SUMPRODUCT((Social!$C$6:$C$11&lt;=A7)*Social!$B$6:$B$11*Social!$I$6:$I$11)</f>
        <v>0.225</v>
      </c>
      <c r="AA7" s="20" t="n">
        <f aca="false">Z7*Ipotesi!$B$50</f>
        <v>0.07875</v>
      </c>
      <c r="AB7" s="20" t="n">
        <f aca="false">AA7*Ipotesi!$B$51</f>
        <v>0.0433125</v>
      </c>
      <c r="AC7" s="20" t="n">
        <f aca="false">MIN(AB7,MAX(0,I7-J7))</f>
        <v>0.0433125</v>
      </c>
      <c r="AD7" s="18" t="n">
        <f aca="false">AC7*Ipotesi!$B$37+(AA7-AC7)*Ipotesi!$B$19</f>
        <v>91.6846875</v>
      </c>
      <c r="AE7" s="18" t="n">
        <f aca="false">SUMPRODUCT((Social!$C$6:$C$11&lt;=A7)*Social!$J$6:$J$11)</f>
        <v>703.333333333333</v>
      </c>
      <c r="AF7" s="18" t="n">
        <f aca="false">SUMPRODUCT((Social!$C$6:$C$11&lt;=A7)*Social!$K$6:$K$11)</f>
        <v>86.6666666666667</v>
      </c>
      <c r="AG7" s="18" t="n">
        <f aca="false">AC7*IF(A7&lt;=12,Ipotesi!$B$38,Ipotesi!$B$39)*Ipotesi!$B$22</f>
        <v>26.214890625</v>
      </c>
      <c r="AH7" s="18" t="n">
        <f aca="false">AD7-AE7-AF7-AG7</f>
        <v>-724.530203125</v>
      </c>
      <c r="AI7" s="18" t="n">
        <f aca="false">AI6+AH7</f>
        <v>-2270.58290104167</v>
      </c>
      <c r="AJ7" s="18" t="n">
        <f aca="false">U7+AI7</f>
        <v>-9052.91450520833</v>
      </c>
      <c r="AK7" s="18" t="n">
        <f aca="false">AC7*Ipotesi!$B$37*Ipotesi!$B$20+IF(A7&gt;Ipotesi!$B$21,INDEX($AC$5:$AC$40,A7-Ipotesi!$B$21)*Ipotesi!$B$37*(1-Ipotesi!$B$20),0)+(AA7-AC7)*Ipotesi!$B$19</f>
        <v>47.61421875</v>
      </c>
      <c r="AL7" s="18" t="n">
        <f aca="false">X7+SUM($AK$5:AK7)-SUM($AE$5:AE7)-SUM($AG$5:AG7)</f>
        <v>-6007.52361979167</v>
      </c>
      <c r="AM7" s="45" t="n">
        <f aca="false">IF(AJ7&gt;=0,A7,999)</f>
        <v>999</v>
      </c>
    </row>
    <row r="8" customFormat="false" ht="15" hidden="false" customHeight="false" outlineLevel="0" collapsed="false">
      <c r="A8" s="25" t="n">
        <v>4</v>
      </c>
      <c r="B8" s="45" t="n">
        <f aca="false">INT((A8-1)/12)+1</f>
        <v>1</v>
      </c>
      <c r="C8" s="45" t="n">
        <f aca="false">MOD(Ipotesi!$B$7-1+A8-1,12)+1</f>
        <v>2</v>
      </c>
      <c r="D8" s="46" t="n">
        <f aca="false">INDEX(Ipotesi!$B$58:$B$69,C8)</f>
        <v>1</v>
      </c>
      <c r="E8" s="45" t="n">
        <f aca="false">Ipotesi!$B$47*MIN(1,(A8/Ipotesi!$B$18)^2)*(1+Ipotesi!$B$48)^(MAX(0,A8-12)/12)*D8</f>
        <v>888.888888888889</v>
      </c>
      <c r="F8" s="20" t="n">
        <f aca="false">E8*Ipotesi!$B$49</f>
        <v>1.77777777777778</v>
      </c>
      <c r="G8" s="20" t="n">
        <f aca="false">F8*Ipotesi!$B$50</f>
        <v>0.622222222222222</v>
      </c>
      <c r="H8" s="20" t="n">
        <f aca="false">G8*Ipotesi!$B$51</f>
        <v>0.342222222222222</v>
      </c>
      <c r="I8" s="20" t="n">
        <f aca="false">IF(A8&lt;=12,Ipotesi!$B$42,Ipotesi!$B$43)</f>
        <v>8.92193308550186</v>
      </c>
      <c r="J8" s="20" t="n">
        <f aca="false">MIN(H8,I8)</f>
        <v>0.342222222222222</v>
      </c>
      <c r="K8" s="20" t="n">
        <f aca="false">H8-J8</f>
        <v>0</v>
      </c>
      <c r="L8" s="18" t="n">
        <f aca="false">J8*Ipotesi!$B$37</f>
        <v>696.422222222222</v>
      </c>
      <c r="M8" s="18" t="n">
        <f aca="false">(G8-J8)*Ipotesi!$B$19</f>
        <v>28</v>
      </c>
      <c r="N8" s="18" t="n">
        <f aca="false">IF(A8&gt;=Ipotesi!$B$26,Ipotesi!$B$52*Ipotesi!$B$25/12,0)</f>
        <v>0</v>
      </c>
      <c r="O8" s="18" t="n">
        <f aca="false">IF(A8&gt;=Ipotesi!$B$27,Ipotesi!$B$53,0)</f>
        <v>0</v>
      </c>
      <c r="P8" s="18" t="n">
        <f aca="false">SUM(L8:O8)</f>
        <v>724.422222222222</v>
      </c>
      <c r="Q8" s="18" t="n">
        <f aca="false">IF(A8=1,Ipotesi!$B$10+Ipotesi!$B$11,0)+Ipotesi!$B$8*Ipotesi!$B$9+Ipotesi!$B$12+Ipotesi!$B$13+Ipotesi!$B$16*52/12*Ipotesi!$B$17</f>
        <v>620</v>
      </c>
      <c r="R8" s="18" t="n">
        <f aca="false">Ipotesi!$B$14*52/12*Ipotesi!$B$15</f>
        <v>1040</v>
      </c>
      <c r="S8" s="18" t="n">
        <f aca="false">J8*IF(A8&lt;=12,Ipotesi!$B$38,Ipotesi!$B$39)*Ipotesi!$B$22</f>
        <v>207.13</v>
      </c>
      <c r="T8" s="18" t="n">
        <f aca="false">P8-Q8-R8-S8</f>
        <v>-1142.70777777778</v>
      </c>
      <c r="U8" s="18" t="n">
        <f aca="false">U7+T8</f>
        <v>-7925.03938194444</v>
      </c>
      <c r="V8" s="18" t="n">
        <f aca="false">L8*Ipotesi!$B$20+IF(A8&gt;Ipotesi!$B$21,INDEX($L$5:$L$40,A8-Ipotesi!$B$21)*(1-Ipotesi!$B$20),0)+M8+N8+O8</f>
        <v>376.211111111111</v>
      </c>
      <c r="W8" s="18" t="n">
        <f aca="false">V8-Q8-S8</f>
        <v>-450.918888888889</v>
      </c>
      <c r="X8" s="18" t="n">
        <f aca="false">X7+W8</f>
        <v>-4380.93778472222</v>
      </c>
      <c r="Y8" s="45" t="n">
        <f aca="false">IF(U8&gt;=0,A8,999)</f>
        <v>999</v>
      </c>
      <c r="Z8" s="20" t="n">
        <f aca="false">F8*SUMPRODUCT((Social!$C$6:$C$11&lt;=A8)*Social!$B$6:$B$11*Social!$I$6:$I$11)</f>
        <v>0.533333333333333</v>
      </c>
      <c r="AA8" s="20" t="n">
        <f aca="false">Z8*Ipotesi!$B$50</f>
        <v>0.186666666666667</v>
      </c>
      <c r="AB8" s="20" t="n">
        <f aca="false">AA8*Ipotesi!$B$51</f>
        <v>0.102666666666667</v>
      </c>
      <c r="AC8" s="20" t="n">
        <f aca="false">MIN(AB8,MAX(0,I8-J8))</f>
        <v>0.102666666666667</v>
      </c>
      <c r="AD8" s="18" t="n">
        <f aca="false">AC8*Ipotesi!$B$37+(AA8-AC8)*Ipotesi!$B$19</f>
        <v>217.326666666667</v>
      </c>
      <c r="AE8" s="18" t="n">
        <f aca="false">SUMPRODUCT((Social!$C$6:$C$11&lt;=A8)*Social!$J$6:$J$11)</f>
        <v>920</v>
      </c>
      <c r="AF8" s="18" t="n">
        <f aca="false">SUMPRODUCT((Social!$C$6:$C$11&lt;=A8)*Social!$K$6:$K$11)</f>
        <v>433.333333333333</v>
      </c>
      <c r="AG8" s="18" t="n">
        <f aca="false">AC8*IF(A8&lt;=12,Ipotesi!$B$38,Ipotesi!$B$39)*Ipotesi!$B$22</f>
        <v>62.139</v>
      </c>
      <c r="AH8" s="18" t="n">
        <f aca="false">AD8-AE8-AF8-AG8</f>
        <v>-1198.14566666667</v>
      </c>
      <c r="AI8" s="18" t="n">
        <f aca="false">AI7+AH8</f>
        <v>-3468.72856770833</v>
      </c>
      <c r="AJ8" s="18" t="n">
        <f aca="false">U8+AI8</f>
        <v>-11393.7679496528</v>
      </c>
      <c r="AK8" s="18" t="n">
        <f aca="false">AC8*Ipotesi!$B$37*Ipotesi!$B$20+IF(A8&gt;Ipotesi!$B$21,INDEX($AC$5:$AC$40,A8-Ipotesi!$B$21)*Ipotesi!$B$37*(1-Ipotesi!$B$20),0)+(AA8-AC8)*Ipotesi!$B$19</f>
        <v>112.863333333333</v>
      </c>
      <c r="AL8" s="18" t="n">
        <f aca="false">X8+SUM($AK$5:AK8)-SUM($AE$5:AE8)-SUM($AG$5:AG8)</f>
        <v>-7327.71817534722</v>
      </c>
      <c r="AM8" s="45" t="n">
        <f aca="false">IF(AJ8&gt;=0,A8,999)</f>
        <v>999</v>
      </c>
    </row>
    <row r="9" customFormat="false" ht="15" hidden="false" customHeight="false" outlineLevel="0" collapsed="false">
      <c r="A9" s="25" t="n">
        <v>5</v>
      </c>
      <c r="B9" s="45" t="n">
        <f aca="false">INT((A9-1)/12)+1</f>
        <v>1</v>
      </c>
      <c r="C9" s="45" t="n">
        <f aca="false">MOD(Ipotesi!$B$7-1+A9-1,12)+1</f>
        <v>3</v>
      </c>
      <c r="D9" s="46" t="n">
        <f aca="false">INDEX(Ipotesi!$B$58:$B$69,C9)</f>
        <v>1.1</v>
      </c>
      <c r="E9" s="45" t="n">
        <f aca="false">Ipotesi!$B$47*MIN(1,(A9/Ipotesi!$B$18)^2)*(1+Ipotesi!$B$48)^(MAX(0,A9-12)/12)*D9</f>
        <v>1527.77777777778</v>
      </c>
      <c r="F9" s="20" t="n">
        <f aca="false">E9*Ipotesi!$B$49</f>
        <v>3.05555555555556</v>
      </c>
      <c r="G9" s="20" t="n">
        <f aca="false">F9*Ipotesi!$B$50</f>
        <v>1.06944444444444</v>
      </c>
      <c r="H9" s="20" t="n">
        <f aca="false">G9*Ipotesi!$B$51</f>
        <v>0.588194444444445</v>
      </c>
      <c r="I9" s="20" t="n">
        <f aca="false">IF(A9&lt;=12,Ipotesi!$B$42,Ipotesi!$B$43)</f>
        <v>8.92193308550186</v>
      </c>
      <c r="J9" s="20" t="n">
        <f aca="false">MIN(H9,I9)</f>
        <v>0.588194444444445</v>
      </c>
      <c r="K9" s="20" t="n">
        <f aca="false">H9-J9</f>
        <v>0</v>
      </c>
      <c r="L9" s="18" t="n">
        <f aca="false">J9*Ipotesi!$B$37</f>
        <v>1196.97569444445</v>
      </c>
      <c r="M9" s="18" t="n">
        <f aca="false">(G9-J9)*Ipotesi!$B$19</f>
        <v>48.125</v>
      </c>
      <c r="N9" s="18" t="n">
        <f aca="false">IF(A9&gt;=Ipotesi!$B$26,Ipotesi!$B$52*Ipotesi!$B$25/12,0)</f>
        <v>0</v>
      </c>
      <c r="O9" s="18" t="n">
        <f aca="false">IF(A9&gt;=Ipotesi!$B$27,Ipotesi!$B$53,0)</f>
        <v>0</v>
      </c>
      <c r="P9" s="18" t="n">
        <f aca="false">SUM(L9:O9)</f>
        <v>1245.10069444445</v>
      </c>
      <c r="Q9" s="18" t="n">
        <f aca="false">IF(A9=1,Ipotesi!$B$10+Ipotesi!$B$11,0)+Ipotesi!$B$8*Ipotesi!$B$9+Ipotesi!$B$12+Ipotesi!$B$13+Ipotesi!$B$16*52/12*Ipotesi!$B$17</f>
        <v>620</v>
      </c>
      <c r="R9" s="18" t="n">
        <f aca="false">Ipotesi!$B$14*52/12*Ipotesi!$B$15</f>
        <v>1040</v>
      </c>
      <c r="S9" s="18" t="n">
        <f aca="false">J9*IF(A9&lt;=12,Ipotesi!$B$38,Ipotesi!$B$39)*Ipotesi!$B$22</f>
        <v>356.0046875</v>
      </c>
      <c r="T9" s="18" t="n">
        <f aca="false">P9-Q9-R9-S9</f>
        <v>-770.903993055555</v>
      </c>
      <c r="U9" s="18" t="n">
        <f aca="false">U8+T9</f>
        <v>-8695.943375</v>
      </c>
      <c r="V9" s="18" t="n">
        <f aca="false">L9*Ipotesi!$B$20+IF(A9&gt;Ipotesi!$B$21,INDEX($L$5:$L$40,A9-Ipotesi!$B$21)*(1-Ipotesi!$B$20),0)+M9+N9+O9</f>
        <v>646.612847222223</v>
      </c>
      <c r="W9" s="18" t="n">
        <f aca="false">V9-Q9-S9</f>
        <v>-329.391840277778</v>
      </c>
      <c r="X9" s="18" t="n">
        <f aca="false">X8+W9</f>
        <v>-4710.329625</v>
      </c>
      <c r="Y9" s="45" t="n">
        <f aca="false">IF(U9&gt;=0,A9,999)</f>
        <v>999</v>
      </c>
      <c r="Z9" s="20" t="n">
        <f aca="false">F9*SUMPRODUCT((Social!$C$6:$C$11&lt;=A9)*Social!$B$6:$B$11*Social!$I$6:$I$11)</f>
        <v>0.916666666666667</v>
      </c>
      <c r="AA9" s="20" t="n">
        <f aca="false">Z9*Ipotesi!$B$50</f>
        <v>0.320833333333333</v>
      </c>
      <c r="AB9" s="20" t="n">
        <f aca="false">AA9*Ipotesi!$B$51</f>
        <v>0.176458333333333</v>
      </c>
      <c r="AC9" s="20" t="n">
        <f aca="false">MIN(AB9,MAX(0,I9-J9))</f>
        <v>0.176458333333333</v>
      </c>
      <c r="AD9" s="18" t="n">
        <f aca="false">AC9*Ipotesi!$B$37+(AA9-AC9)*Ipotesi!$B$19</f>
        <v>373.530208333333</v>
      </c>
      <c r="AE9" s="18" t="n">
        <f aca="false">SUMPRODUCT((Social!$C$6:$C$11&lt;=A9)*Social!$J$6:$J$11)</f>
        <v>920</v>
      </c>
      <c r="AF9" s="18" t="n">
        <f aca="false">SUMPRODUCT((Social!$C$6:$C$11&lt;=A9)*Social!$K$6:$K$11)</f>
        <v>433.333333333333</v>
      </c>
      <c r="AG9" s="18" t="n">
        <f aca="false">AC9*IF(A9&lt;=12,Ipotesi!$B$38,Ipotesi!$B$39)*Ipotesi!$B$22</f>
        <v>106.80140625</v>
      </c>
      <c r="AH9" s="18" t="n">
        <f aca="false">AD9-AE9-AF9-AG9</f>
        <v>-1086.60453125</v>
      </c>
      <c r="AI9" s="18" t="n">
        <f aca="false">AI8+AH9</f>
        <v>-4555.33309895833</v>
      </c>
      <c r="AJ9" s="18" t="n">
        <f aca="false">U9+AI9</f>
        <v>-13251.2764739583</v>
      </c>
      <c r="AK9" s="18" t="n">
        <f aca="false">AC9*Ipotesi!$B$37*Ipotesi!$B$20+IF(A9&gt;Ipotesi!$B$21,INDEX($AC$5:$AC$40,A9-Ipotesi!$B$21)*Ipotesi!$B$37*(1-Ipotesi!$B$20),0)+(AA9-AC9)*Ipotesi!$B$19</f>
        <v>193.983854166667</v>
      </c>
      <c r="AL9" s="18" t="n">
        <f aca="false">X9+SUM($AK$5:AK9)-SUM($AE$5:AE9)-SUM($AG$5:AG9)</f>
        <v>-8489.92756770833</v>
      </c>
      <c r="AM9" s="45" t="n">
        <f aca="false">IF(AJ9&gt;=0,A9,999)</f>
        <v>999</v>
      </c>
    </row>
    <row r="10" customFormat="false" ht="15" hidden="false" customHeight="false" outlineLevel="0" collapsed="false">
      <c r="A10" s="25" t="n">
        <v>6</v>
      </c>
      <c r="B10" s="45" t="n">
        <f aca="false">INT((A10-1)/12)+1</f>
        <v>1</v>
      </c>
      <c r="C10" s="45" t="n">
        <f aca="false">MOD(Ipotesi!$B$7-1+A10-1,12)+1</f>
        <v>4</v>
      </c>
      <c r="D10" s="46" t="n">
        <f aca="false">INDEX(Ipotesi!$B$58:$B$69,C10)</f>
        <v>1.2</v>
      </c>
      <c r="E10" s="45" t="n">
        <f aca="false">Ipotesi!$B$47*MIN(1,(A10/Ipotesi!$B$18)^2)*(1+Ipotesi!$B$48)^(MAX(0,A10-12)/12)*D10</f>
        <v>2400</v>
      </c>
      <c r="F10" s="20" t="n">
        <f aca="false">E10*Ipotesi!$B$49</f>
        <v>4.8</v>
      </c>
      <c r="G10" s="20" t="n">
        <f aca="false">F10*Ipotesi!$B$50</f>
        <v>1.68</v>
      </c>
      <c r="H10" s="20" t="n">
        <f aca="false">G10*Ipotesi!$B$51</f>
        <v>0.924</v>
      </c>
      <c r="I10" s="20" t="n">
        <f aca="false">IF(A10&lt;=12,Ipotesi!$B$42,Ipotesi!$B$43)</f>
        <v>8.92193308550186</v>
      </c>
      <c r="J10" s="20" t="n">
        <f aca="false">MIN(H10,I10)</f>
        <v>0.924</v>
      </c>
      <c r="K10" s="20" t="n">
        <f aca="false">H10-J10</f>
        <v>0</v>
      </c>
      <c r="L10" s="18" t="n">
        <f aca="false">J10*Ipotesi!$B$37</f>
        <v>1880.34</v>
      </c>
      <c r="M10" s="18" t="n">
        <f aca="false">(G10-J10)*Ipotesi!$B$19</f>
        <v>75.6</v>
      </c>
      <c r="N10" s="18" t="n">
        <f aca="false">IF(A10&gt;=Ipotesi!$B$26,Ipotesi!$B$52*Ipotesi!$B$25/12,0)</f>
        <v>0</v>
      </c>
      <c r="O10" s="18" t="n">
        <f aca="false">IF(A10&gt;=Ipotesi!$B$27,Ipotesi!$B$53,0)</f>
        <v>0</v>
      </c>
      <c r="P10" s="18" t="n">
        <f aca="false">SUM(L10:O10)</f>
        <v>1955.94</v>
      </c>
      <c r="Q10" s="18" t="n">
        <f aca="false">IF(A10=1,Ipotesi!$B$10+Ipotesi!$B$11,0)+Ipotesi!$B$8*Ipotesi!$B$9+Ipotesi!$B$12+Ipotesi!$B$13+Ipotesi!$B$16*52/12*Ipotesi!$B$17</f>
        <v>620</v>
      </c>
      <c r="R10" s="18" t="n">
        <f aca="false">Ipotesi!$B$14*52/12*Ipotesi!$B$15</f>
        <v>1040</v>
      </c>
      <c r="S10" s="18" t="n">
        <f aca="false">J10*IF(A10&lt;=12,Ipotesi!$B$38,Ipotesi!$B$39)*Ipotesi!$B$22</f>
        <v>559.251</v>
      </c>
      <c r="T10" s="18" t="n">
        <f aca="false">P10-Q10-R10-S10</f>
        <v>-263.311</v>
      </c>
      <c r="U10" s="18" t="n">
        <f aca="false">U9+T10</f>
        <v>-8959.254375</v>
      </c>
      <c r="V10" s="18" t="n">
        <f aca="false">L10*Ipotesi!$B$20+IF(A10&gt;Ipotesi!$B$21,INDEX($L$5:$L$40,A10-Ipotesi!$B$21)*(1-Ipotesi!$B$20),0)+M10+N10+O10</f>
        <v>1015.77</v>
      </c>
      <c r="W10" s="18" t="n">
        <f aca="false">V10-Q10-S10</f>
        <v>-163.481</v>
      </c>
      <c r="X10" s="18" t="n">
        <f aca="false">X9+W10</f>
        <v>-4873.810625</v>
      </c>
      <c r="Y10" s="45" t="n">
        <f aca="false">IF(U10&gt;=0,A10,999)</f>
        <v>999</v>
      </c>
      <c r="Z10" s="20" t="n">
        <f aca="false">F10*SUMPRODUCT((Social!$C$6:$C$11&lt;=A10)*Social!$B$6:$B$11*Social!$I$6:$I$11)</f>
        <v>1.44</v>
      </c>
      <c r="AA10" s="20" t="n">
        <f aca="false">Z10*Ipotesi!$B$50</f>
        <v>0.504</v>
      </c>
      <c r="AB10" s="20" t="n">
        <f aca="false">AA10*Ipotesi!$B$51</f>
        <v>0.2772</v>
      </c>
      <c r="AC10" s="20" t="n">
        <f aca="false">MIN(AB10,MAX(0,I10-J10))</f>
        <v>0.2772</v>
      </c>
      <c r="AD10" s="18" t="n">
        <f aca="false">AC10*Ipotesi!$B$37+(AA10-AC10)*Ipotesi!$B$19</f>
        <v>586.782</v>
      </c>
      <c r="AE10" s="18" t="n">
        <f aca="false">SUMPRODUCT((Social!$C$6:$C$11&lt;=A10)*Social!$J$6:$J$11)</f>
        <v>920</v>
      </c>
      <c r="AF10" s="18" t="n">
        <f aca="false">SUMPRODUCT((Social!$C$6:$C$11&lt;=A10)*Social!$K$6:$K$11)</f>
        <v>433.333333333333</v>
      </c>
      <c r="AG10" s="18" t="n">
        <f aca="false">AC10*IF(A10&lt;=12,Ipotesi!$B$38,Ipotesi!$B$39)*Ipotesi!$B$22</f>
        <v>167.7753</v>
      </c>
      <c r="AH10" s="18" t="n">
        <f aca="false">AD10-AE10-AF10-AG10</f>
        <v>-934.326633333333</v>
      </c>
      <c r="AI10" s="18" t="n">
        <f aca="false">AI9+AH10</f>
        <v>-5489.65973229167</v>
      </c>
      <c r="AJ10" s="18" t="n">
        <f aca="false">U10+AI10</f>
        <v>-14448.9141072917</v>
      </c>
      <c r="AK10" s="18" t="n">
        <f aca="false">AC10*Ipotesi!$B$37*Ipotesi!$B$20+IF(A10&gt;Ipotesi!$B$21,INDEX($AC$5:$AC$40,A10-Ipotesi!$B$21)*Ipotesi!$B$37*(1-Ipotesi!$B$20),0)+(AA10-AC10)*Ipotesi!$B$19</f>
        <v>304.731</v>
      </c>
      <c r="AL10" s="18" t="n">
        <f aca="false">X10+SUM($AK$5:AK10)-SUM($AE$5:AE10)-SUM($AG$5:AG10)</f>
        <v>-9436.45286770833</v>
      </c>
      <c r="AM10" s="45" t="n">
        <f aca="false">IF(AJ10&gt;=0,A10,999)</f>
        <v>999</v>
      </c>
    </row>
    <row r="11" customFormat="false" ht="15" hidden="false" customHeight="false" outlineLevel="0" collapsed="false">
      <c r="A11" s="25" t="n">
        <v>7</v>
      </c>
      <c r="B11" s="45" t="n">
        <f aca="false">INT((A11-1)/12)+1</f>
        <v>1</v>
      </c>
      <c r="C11" s="45" t="n">
        <f aca="false">MOD(Ipotesi!$B$7-1+A11-1,12)+1</f>
        <v>5</v>
      </c>
      <c r="D11" s="46" t="n">
        <f aca="false">INDEX(Ipotesi!$B$58:$B$69,C11)</f>
        <v>1.1</v>
      </c>
      <c r="E11" s="45" t="n">
        <f aca="false">Ipotesi!$B$47*MIN(1,(A11/Ipotesi!$B$18)^2)*(1+Ipotesi!$B$48)^(MAX(0,A11-12)/12)*D11</f>
        <v>2200</v>
      </c>
      <c r="F11" s="20" t="n">
        <f aca="false">E11*Ipotesi!$B$49</f>
        <v>4.4</v>
      </c>
      <c r="G11" s="20" t="n">
        <f aca="false">F11*Ipotesi!$B$50</f>
        <v>1.54</v>
      </c>
      <c r="H11" s="20" t="n">
        <f aca="false">G11*Ipotesi!$B$51</f>
        <v>0.847</v>
      </c>
      <c r="I11" s="20" t="n">
        <f aca="false">IF(A11&lt;=12,Ipotesi!$B$42,Ipotesi!$B$43)</f>
        <v>8.92193308550186</v>
      </c>
      <c r="J11" s="20" t="n">
        <f aca="false">MIN(H11,I11)</f>
        <v>0.847</v>
      </c>
      <c r="K11" s="20" t="n">
        <f aca="false">H11-J11</f>
        <v>0</v>
      </c>
      <c r="L11" s="18" t="n">
        <f aca="false">J11*Ipotesi!$B$37</f>
        <v>1723.645</v>
      </c>
      <c r="M11" s="18" t="n">
        <f aca="false">(G11-J11)*Ipotesi!$B$19</f>
        <v>69.3</v>
      </c>
      <c r="N11" s="18" t="n">
        <f aca="false">IF(A11&gt;=Ipotesi!$B$26,Ipotesi!$B$52*Ipotesi!$B$25/12,0)</f>
        <v>0</v>
      </c>
      <c r="O11" s="18" t="n">
        <f aca="false">IF(A11&gt;=Ipotesi!$B$27,Ipotesi!$B$53,0)</f>
        <v>0</v>
      </c>
      <c r="P11" s="18" t="n">
        <f aca="false">SUM(L11:O11)</f>
        <v>1792.945</v>
      </c>
      <c r="Q11" s="18" t="n">
        <f aca="false">IF(A11=1,Ipotesi!$B$10+Ipotesi!$B$11,0)+Ipotesi!$B$8*Ipotesi!$B$9+Ipotesi!$B$12+Ipotesi!$B$13+Ipotesi!$B$16*52/12*Ipotesi!$B$17</f>
        <v>620</v>
      </c>
      <c r="R11" s="18" t="n">
        <f aca="false">Ipotesi!$B$14*52/12*Ipotesi!$B$15</f>
        <v>1040</v>
      </c>
      <c r="S11" s="18" t="n">
        <f aca="false">J11*IF(A11&lt;=12,Ipotesi!$B$38,Ipotesi!$B$39)*Ipotesi!$B$22</f>
        <v>512.64675</v>
      </c>
      <c r="T11" s="18" t="n">
        <f aca="false">P11-Q11-R11-S11</f>
        <v>-379.70175</v>
      </c>
      <c r="U11" s="18" t="n">
        <f aca="false">U10+T11</f>
        <v>-9338.956125</v>
      </c>
      <c r="V11" s="18" t="n">
        <f aca="false">L11*Ipotesi!$B$20+IF(A11&gt;Ipotesi!$B$21,INDEX($L$5:$L$40,A11-Ipotesi!$B$21)*(1-Ipotesi!$B$20),0)+M11+N11+O11</f>
        <v>952.885694444445</v>
      </c>
      <c r="W11" s="18" t="n">
        <f aca="false">V11-Q11-S11</f>
        <v>-179.761055555555</v>
      </c>
      <c r="X11" s="18" t="n">
        <f aca="false">X10+W11</f>
        <v>-5053.57168055556</v>
      </c>
      <c r="Y11" s="45" t="n">
        <f aca="false">IF(U11&gt;=0,A11,999)</f>
        <v>999</v>
      </c>
      <c r="Z11" s="20" t="n">
        <f aca="false">F11*SUMPRODUCT((Social!$C$6:$C$11&lt;=A11)*Social!$B$6:$B$11*Social!$I$6:$I$11)</f>
        <v>1.32</v>
      </c>
      <c r="AA11" s="20" t="n">
        <f aca="false">Z11*Ipotesi!$B$50</f>
        <v>0.462</v>
      </c>
      <c r="AB11" s="20" t="n">
        <f aca="false">AA11*Ipotesi!$B$51</f>
        <v>0.2541</v>
      </c>
      <c r="AC11" s="20" t="n">
        <f aca="false">MIN(AB11,MAX(0,I11-J11))</f>
        <v>0.2541</v>
      </c>
      <c r="AD11" s="18" t="n">
        <f aca="false">AC11*Ipotesi!$B$37+(AA11-AC11)*Ipotesi!$B$19</f>
        <v>537.8835</v>
      </c>
      <c r="AE11" s="18" t="n">
        <f aca="false">SUMPRODUCT((Social!$C$6:$C$11&lt;=A11)*Social!$J$6:$J$11)</f>
        <v>920</v>
      </c>
      <c r="AF11" s="18" t="n">
        <f aca="false">SUMPRODUCT((Social!$C$6:$C$11&lt;=A11)*Social!$K$6:$K$11)</f>
        <v>433.333333333333</v>
      </c>
      <c r="AG11" s="18" t="n">
        <f aca="false">AC11*IF(A11&lt;=12,Ipotesi!$B$38,Ipotesi!$B$39)*Ipotesi!$B$22</f>
        <v>153.794025</v>
      </c>
      <c r="AH11" s="18" t="n">
        <f aca="false">AD11-AE11-AF11-AG11</f>
        <v>-969.243858333333</v>
      </c>
      <c r="AI11" s="18" t="n">
        <f aca="false">AI10+AH11</f>
        <v>-6458.903590625</v>
      </c>
      <c r="AJ11" s="18" t="n">
        <f aca="false">U11+AI11</f>
        <v>-15797.859715625</v>
      </c>
      <c r="AK11" s="18" t="n">
        <f aca="false">AC11*Ipotesi!$B$37*Ipotesi!$B$20+IF(A11&gt;Ipotesi!$B$21,INDEX($AC$5:$AC$40,A11-Ipotesi!$B$21)*Ipotesi!$B$37*(1-Ipotesi!$B$20),0)+(AA11-AC11)*Ipotesi!$B$19</f>
        <v>284.777548611111</v>
      </c>
      <c r="AL11" s="18" t="n">
        <f aca="false">X11+SUM($AK$5:AK11)-SUM($AE$5:AE11)-SUM($AG$5:AG11)</f>
        <v>-10405.2303996528</v>
      </c>
      <c r="AM11" s="45" t="n">
        <f aca="false">IF(AJ11&gt;=0,A11,999)</f>
        <v>999</v>
      </c>
    </row>
    <row r="12" customFormat="false" ht="15" hidden="false" customHeight="false" outlineLevel="0" collapsed="false">
      <c r="A12" s="25" t="n">
        <v>8</v>
      </c>
      <c r="B12" s="45" t="n">
        <f aca="false">INT((A12-1)/12)+1</f>
        <v>1</v>
      </c>
      <c r="C12" s="45" t="n">
        <f aca="false">MOD(Ipotesi!$B$7-1+A12-1,12)+1</f>
        <v>6</v>
      </c>
      <c r="D12" s="46" t="n">
        <f aca="false">INDEX(Ipotesi!$B$58:$B$69,C12)</f>
        <v>1</v>
      </c>
      <c r="E12" s="45" t="n">
        <f aca="false">Ipotesi!$B$47*MIN(1,(A12/Ipotesi!$B$18)^2)*(1+Ipotesi!$B$48)^(MAX(0,A12-12)/12)*D12</f>
        <v>2000</v>
      </c>
      <c r="F12" s="20" t="n">
        <f aca="false">E12*Ipotesi!$B$49</f>
        <v>4</v>
      </c>
      <c r="G12" s="20" t="n">
        <f aca="false">F12*Ipotesi!$B$50</f>
        <v>1.4</v>
      </c>
      <c r="H12" s="20" t="n">
        <f aca="false">G12*Ipotesi!$B$51</f>
        <v>0.77</v>
      </c>
      <c r="I12" s="20" t="n">
        <f aca="false">IF(A12&lt;=12,Ipotesi!$B$42,Ipotesi!$B$43)</f>
        <v>8.92193308550186</v>
      </c>
      <c r="J12" s="20" t="n">
        <f aca="false">MIN(H12,I12)</f>
        <v>0.77</v>
      </c>
      <c r="K12" s="20" t="n">
        <f aca="false">H12-J12</f>
        <v>0</v>
      </c>
      <c r="L12" s="18" t="n">
        <f aca="false">J12*Ipotesi!$B$37</f>
        <v>1566.95</v>
      </c>
      <c r="M12" s="18" t="n">
        <f aca="false">(G12-J12)*Ipotesi!$B$19</f>
        <v>63</v>
      </c>
      <c r="N12" s="18" t="n">
        <f aca="false">IF(A12&gt;=Ipotesi!$B$26,Ipotesi!$B$52*Ipotesi!$B$25/12,0)</f>
        <v>0</v>
      </c>
      <c r="O12" s="18" t="n">
        <f aca="false">IF(A12&gt;=Ipotesi!$B$27,Ipotesi!$B$53,0)</f>
        <v>0</v>
      </c>
      <c r="P12" s="18" t="n">
        <f aca="false">SUM(L12:O12)</f>
        <v>1629.95</v>
      </c>
      <c r="Q12" s="18" t="n">
        <f aca="false">IF(A12=1,Ipotesi!$B$10+Ipotesi!$B$11,0)+Ipotesi!$B$8*Ipotesi!$B$9+Ipotesi!$B$12+Ipotesi!$B$13+Ipotesi!$B$16*52/12*Ipotesi!$B$17</f>
        <v>620</v>
      </c>
      <c r="R12" s="18" t="n">
        <f aca="false">Ipotesi!$B$14*52/12*Ipotesi!$B$15</f>
        <v>1040</v>
      </c>
      <c r="S12" s="18" t="n">
        <f aca="false">J12*IF(A12&lt;=12,Ipotesi!$B$38,Ipotesi!$B$39)*Ipotesi!$B$22</f>
        <v>466.0425</v>
      </c>
      <c r="T12" s="18" t="n">
        <f aca="false">P12-Q12-R12-S12</f>
        <v>-496.0925</v>
      </c>
      <c r="U12" s="18" t="n">
        <f aca="false">U11+T12</f>
        <v>-9835.048625</v>
      </c>
      <c r="V12" s="18" t="n">
        <f aca="false">L12*Ipotesi!$B$20+IF(A12&gt;Ipotesi!$B$21,INDEX($L$5:$L$40,A12-Ipotesi!$B$21)*(1-Ipotesi!$B$20),0)+M12+N12+O12</f>
        <v>916.117222222222</v>
      </c>
      <c r="W12" s="18" t="n">
        <f aca="false">V12-Q12-S12</f>
        <v>-169.925277777778</v>
      </c>
      <c r="X12" s="18" t="n">
        <f aca="false">X11+W12</f>
        <v>-5223.49695833333</v>
      </c>
      <c r="Y12" s="45" t="n">
        <f aca="false">IF(U12&gt;=0,A12,999)</f>
        <v>999</v>
      </c>
      <c r="Z12" s="20" t="n">
        <f aca="false">F12*SUMPRODUCT((Social!$C$6:$C$11&lt;=A12)*Social!$B$6:$B$11*Social!$I$6:$I$11)</f>
        <v>1.2</v>
      </c>
      <c r="AA12" s="20" t="n">
        <f aca="false">Z12*Ipotesi!$B$50</f>
        <v>0.42</v>
      </c>
      <c r="AB12" s="20" t="n">
        <f aca="false">AA12*Ipotesi!$B$51</f>
        <v>0.231</v>
      </c>
      <c r="AC12" s="20" t="n">
        <f aca="false">MIN(AB12,MAX(0,I12-J12))</f>
        <v>0.231</v>
      </c>
      <c r="AD12" s="18" t="n">
        <f aca="false">AC12*Ipotesi!$B$37+(AA12-AC12)*Ipotesi!$B$19</f>
        <v>488.985</v>
      </c>
      <c r="AE12" s="18" t="n">
        <f aca="false">SUMPRODUCT((Social!$C$6:$C$11&lt;=A12)*Social!$J$6:$J$11)</f>
        <v>920</v>
      </c>
      <c r="AF12" s="18" t="n">
        <f aca="false">SUMPRODUCT((Social!$C$6:$C$11&lt;=A12)*Social!$K$6:$K$11)</f>
        <v>433.333333333333</v>
      </c>
      <c r="AG12" s="18" t="n">
        <f aca="false">AC12*IF(A12&lt;=12,Ipotesi!$B$38,Ipotesi!$B$39)*Ipotesi!$B$22</f>
        <v>139.81275</v>
      </c>
      <c r="AH12" s="18" t="n">
        <f aca="false">AD12-AE12-AF12-AG12</f>
        <v>-1004.16108333333</v>
      </c>
      <c r="AI12" s="18" t="n">
        <f aca="false">AI11+AH12</f>
        <v>-7463.06467395833</v>
      </c>
      <c r="AJ12" s="18" t="n">
        <f aca="false">U12+AI12</f>
        <v>-17298.1132989583</v>
      </c>
      <c r="AK12" s="18" t="n">
        <f aca="false">AC12*Ipotesi!$B$37*Ipotesi!$B$20+IF(A12&gt;Ipotesi!$B$21,INDEX($AC$5:$AC$40,A12-Ipotesi!$B$21)*Ipotesi!$B$37*(1-Ipotesi!$B$20),0)+(AA12-AC12)*Ipotesi!$B$19</f>
        <v>271.353055555556</v>
      </c>
      <c r="AL12" s="18" t="n">
        <f aca="false">X12+SUM($AK$5:AK12)-SUM($AE$5:AE12)-SUM($AG$5:AG12)</f>
        <v>-11363.615371875</v>
      </c>
      <c r="AM12" s="45" t="n">
        <f aca="false">IF(AJ12&gt;=0,A12,999)</f>
        <v>999</v>
      </c>
    </row>
    <row r="13" customFormat="false" ht="15" hidden="false" customHeight="false" outlineLevel="0" collapsed="false">
      <c r="A13" s="25" t="n">
        <v>9</v>
      </c>
      <c r="B13" s="45" t="n">
        <f aca="false">INT((A13-1)/12)+1</f>
        <v>1</v>
      </c>
      <c r="C13" s="45" t="n">
        <f aca="false">MOD(Ipotesi!$B$7-1+A13-1,12)+1</f>
        <v>7</v>
      </c>
      <c r="D13" s="46" t="n">
        <f aca="false">INDEX(Ipotesi!$B$58:$B$69,C13)</f>
        <v>1</v>
      </c>
      <c r="E13" s="45" t="n">
        <f aca="false">Ipotesi!$B$47*MIN(1,(A13/Ipotesi!$B$18)^2)*(1+Ipotesi!$B$48)^(MAX(0,A13-12)/12)*D13</f>
        <v>2000</v>
      </c>
      <c r="F13" s="20" t="n">
        <f aca="false">E13*Ipotesi!$B$49</f>
        <v>4</v>
      </c>
      <c r="G13" s="20" t="n">
        <f aca="false">F13*Ipotesi!$B$50</f>
        <v>1.4</v>
      </c>
      <c r="H13" s="20" t="n">
        <f aca="false">G13*Ipotesi!$B$51</f>
        <v>0.77</v>
      </c>
      <c r="I13" s="20" t="n">
        <f aca="false">IF(A13&lt;=12,Ipotesi!$B$42,Ipotesi!$B$43)</f>
        <v>8.92193308550186</v>
      </c>
      <c r="J13" s="20" t="n">
        <f aca="false">MIN(H13,I13)</f>
        <v>0.77</v>
      </c>
      <c r="K13" s="20" t="n">
        <f aca="false">H13-J13</f>
        <v>0</v>
      </c>
      <c r="L13" s="18" t="n">
        <f aca="false">J13*Ipotesi!$B$37</f>
        <v>1566.95</v>
      </c>
      <c r="M13" s="18" t="n">
        <f aca="false">(G13-J13)*Ipotesi!$B$19</f>
        <v>63</v>
      </c>
      <c r="N13" s="18" t="n">
        <f aca="false">IF(A13&gt;=Ipotesi!$B$26,Ipotesi!$B$52*Ipotesi!$B$25/12,0)</f>
        <v>0</v>
      </c>
      <c r="O13" s="18" t="n">
        <f aca="false">IF(A13&gt;=Ipotesi!$B$27,Ipotesi!$B$53,0)</f>
        <v>0</v>
      </c>
      <c r="P13" s="18" t="n">
        <f aca="false">SUM(L13:O13)</f>
        <v>1629.95</v>
      </c>
      <c r="Q13" s="18" t="n">
        <f aca="false">IF(A13=1,Ipotesi!$B$10+Ipotesi!$B$11,0)+Ipotesi!$B$8*Ipotesi!$B$9+Ipotesi!$B$12+Ipotesi!$B$13+Ipotesi!$B$16*52/12*Ipotesi!$B$17</f>
        <v>620</v>
      </c>
      <c r="R13" s="18" t="n">
        <f aca="false">Ipotesi!$B$14*52/12*Ipotesi!$B$15</f>
        <v>1040</v>
      </c>
      <c r="S13" s="18" t="n">
        <f aca="false">J13*IF(A13&lt;=12,Ipotesi!$B$38,Ipotesi!$B$39)*Ipotesi!$B$22</f>
        <v>466.0425</v>
      </c>
      <c r="T13" s="18" t="n">
        <f aca="false">P13-Q13-R13-S13</f>
        <v>-496.0925</v>
      </c>
      <c r="U13" s="18" t="n">
        <f aca="false">U12+T13</f>
        <v>-10331.141125</v>
      </c>
      <c r="V13" s="18" t="n">
        <f aca="false">L13*Ipotesi!$B$20+IF(A13&gt;Ipotesi!$B$21,INDEX($L$5:$L$40,A13-Ipotesi!$B$21)*(1-Ipotesi!$B$20),0)+M13+N13+O13</f>
        <v>1022.756875</v>
      </c>
      <c r="W13" s="18" t="n">
        <f aca="false">V13-Q13-S13</f>
        <v>-63.285625</v>
      </c>
      <c r="X13" s="18" t="n">
        <f aca="false">X12+W13</f>
        <v>-5286.78258333333</v>
      </c>
      <c r="Y13" s="45" t="n">
        <f aca="false">IF(U13&gt;=0,A13,999)</f>
        <v>999</v>
      </c>
      <c r="Z13" s="20" t="n">
        <f aca="false">F13*SUMPRODUCT((Social!$C$6:$C$11&lt;=A13)*Social!$B$6:$B$11*Social!$I$6:$I$11)</f>
        <v>1.2</v>
      </c>
      <c r="AA13" s="20" t="n">
        <f aca="false">Z13*Ipotesi!$B$50</f>
        <v>0.42</v>
      </c>
      <c r="AB13" s="20" t="n">
        <f aca="false">AA13*Ipotesi!$B$51</f>
        <v>0.231</v>
      </c>
      <c r="AC13" s="20" t="n">
        <f aca="false">MIN(AB13,MAX(0,I13-J13))</f>
        <v>0.231</v>
      </c>
      <c r="AD13" s="18" t="n">
        <f aca="false">AC13*Ipotesi!$B$37+(AA13-AC13)*Ipotesi!$B$19</f>
        <v>488.985</v>
      </c>
      <c r="AE13" s="18" t="n">
        <f aca="false">SUMPRODUCT((Social!$C$6:$C$11&lt;=A13)*Social!$J$6:$J$11)</f>
        <v>920</v>
      </c>
      <c r="AF13" s="18" t="n">
        <f aca="false">SUMPRODUCT((Social!$C$6:$C$11&lt;=A13)*Social!$K$6:$K$11)</f>
        <v>433.333333333333</v>
      </c>
      <c r="AG13" s="18" t="n">
        <f aca="false">AC13*IF(A13&lt;=12,Ipotesi!$B$38,Ipotesi!$B$39)*Ipotesi!$B$22</f>
        <v>139.81275</v>
      </c>
      <c r="AH13" s="18" t="n">
        <f aca="false">AD13-AE13-AF13-AG13</f>
        <v>-1004.16108333333</v>
      </c>
      <c r="AI13" s="18" t="n">
        <f aca="false">AI12+AH13</f>
        <v>-8467.22575729167</v>
      </c>
      <c r="AJ13" s="18" t="n">
        <f aca="false">U13+AI13</f>
        <v>-18798.3668822917</v>
      </c>
      <c r="AK13" s="18" t="n">
        <f aca="false">AC13*Ipotesi!$B$37*Ipotesi!$B$20+IF(A13&gt;Ipotesi!$B$21,INDEX($AC$5:$AC$40,A13-Ipotesi!$B$21)*Ipotesi!$B$37*(1-Ipotesi!$B$20),0)+(AA13-AC13)*Ipotesi!$B$19</f>
        <v>298.01296875</v>
      </c>
      <c r="AL13" s="18" t="n">
        <f aca="false">X13+SUM($AK$5:AK13)-SUM($AE$5:AE13)-SUM($AG$5:AG13)</f>
        <v>-12188.700778125</v>
      </c>
      <c r="AM13" s="45" t="n">
        <f aca="false">IF(AJ13&gt;=0,A13,999)</f>
        <v>999</v>
      </c>
    </row>
    <row r="14" customFormat="false" ht="15" hidden="false" customHeight="false" outlineLevel="0" collapsed="false">
      <c r="A14" s="25" t="n">
        <v>10</v>
      </c>
      <c r="B14" s="45" t="n">
        <f aca="false">INT((A14-1)/12)+1</f>
        <v>1</v>
      </c>
      <c r="C14" s="45" t="n">
        <f aca="false">MOD(Ipotesi!$B$7-1+A14-1,12)+1</f>
        <v>8</v>
      </c>
      <c r="D14" s="46" t="n">
        <f aca="false">INDEX(Ipotesi!$B$58:$B$69,C14)</f>
        <v>0.7</v>
      </c>
      <c r="E14" s="45" t="n">
        <f aca="false">Ipotesi!$B$47*MIN(1,(A14/Ipotesi!$B$18)^2)*(1+Ipotesi!$B$48)^(MAX(0,A14-12)/12)*D14</f>
        <v>1400</v>
      </c>
      <c r="F14" s="20" t="n">
        <f aca="false">E14*Ipotesi!$B$49</f>
        <v>2.8</v>
      </c>
      <c r="G14" s="20" t="n">
        <f aca="false">F14*Ipotesi!$B$50</f>
        <v>0.98</v>
      </c>
      <c r="H14" s="20" t="n">
        <f aca="false">G14*Ipotesi!$B$51</f>
        <v>0.539</v>
      </c>
      <c r="I14" s="20" t="n">
        <f aca="false">IF(A14&lt;=12,Ipotesi!$B$42,Ipotesi!$B$43)</f>
        <v>8.92193308550186</v>
      </c>
      <c r="J14" s="20" t="n">
        <f aca="false">MIN(H14,I14)</f>
        <v>0.539</v>
      </c>
      <c r="K14" s="20" t="n">
        <f aca="false">H14-J14</f>
        <v>0</v>
      </c>
      <c r="L14" s="18" t="n">
        <f aca="false">J14*Ipotesi!$B$37</f>
        <v>1096.865</v>
      </c>
      <c r="M14" s="18" t="n">
        <f aca="false">(G14-J14)*Ipotesi!$B$19</f>
        <v>44.1</v>
      </c>
      <c r="N14" s="18" t="n">
        <f aca="false">IF(A14&gt;=Ipotesi!$B$26,Ipotesi!$B$52*Ipotesi!$B$25/12,0)</f>
        <v>0</v>
      </c>
      <c r="O14" s="18" t="n">
        <f aca="false">IF(A14&gt;=Ipotesi!$B$27,Ipotesi!$B$53,0)</f>
        <v>0</v>
      </c>
      <c r="P14" s="18" t="n">
        <f aca="false">SUM(L14:O14)</f>
        <v>1140.965</v>
      </c>
      <c r="Q14" s="18" t="n">
        <f aca="false">IF(A14=1,Ipotesi!$B$10+Ipotesi!$B$11,0)+Ipotesi!$B$8*Ipotesi!$B$9+Ipotesi!$B$12+Ipotesi!$B$13+Ipotesi!$B$16*52/12*Ipotesi!$B$17</f>
        <v>620</v>
      </c>
      <c r="R14" s="18" t="n">
        <f aca="false">Ipotesi!$B$14*52/12*Ipotesi!$B$15</f>
        <v>1040</v>
      </c>
      <c r="S14" s="18" t="n">
        <f aca="false">J14*IF(A14&lt;=12,Ipotesi!$B$38,Ipotesi!$B$39)*Ipotesi!$B$22</f>
        <v>326.22975</v>
      </c>
      <c r="T14" s="18" t="n">
        <f aca="false">P14-Q14-R14-S14</f>
        <v>-845.26475</v>
      </c>
      <c r="U14" s="18" t="n">
        <f aca="false">U13+T14</f>
        <v>-11176.405875</v>
      </c>
      <c r="V14" s="18" t="n">
        <f aca="false">L14*Ipotesi!$B$20+IF(A14&gt;Ipotesi!$B$21,INDEX($L$5:$L$40,A14-Ipotesi!$B$21)*(1-Ipotesi!$B$20),0)+M14+N14+O14</f>
        <v>940.743611111111</v>
      </c>
      <c r="W14" s="18" t="n">
        <f aca="false">V14-Q14-S14</f>
        <v>-5.48613888888889</v>
      </c>
      <c r="X14" s="18" t="n">
        <f aca="false">X13+W14</f>
        <v>-5292.26872222222</v>
      </c>
      <c r="Y14" s="45" t="n">
        <f aca="false">IF(U14&gt;=0,A14,999)</f>
        <v>999</v>
      </c>
      <c r="Z14" s="20" t="n">
        <f aca="false">F14*SUMPRODUCT((Social!$C$6:$C$11&lt;=A14)*Social!$B$6:$B$11*Social!$I$6:$I$11)</f>
        <v>0.84</v>
      </c>
      <c r="AA14" s="20" t="n">
        <f aca="false">Z14*Ipotesi!$B$50</f>
        <v>0.294</v>
      </c>
      <c r="AB14" s="20" t="n">
        <f aca="false">AA14*Ipotesi!$B$51</f>
        <v>0.1617</v>
      </c>
      <c r="AC14" s="20" t="n">
        <f aca="false">MIN(AB14,MAX(0,I14-J14))</f>
        <v>0.1617</v>
      </c>
      <c r="AD14" s="18" t="n">
        <f aca="false">AC14*Ipotesi!$B$37+(AA14-AC14)*Ipotesi!$B$19</f>
        <v>342.2895</v>
      </c>
      <c r="AE14" s="18" t="n">
        <f aca="false">SUMPRODUCT((Social!$C$6:$C$11&lt;=A14)*Social!$J$6:$J$11)</f>
        <v>920</v>
      </c>
      <c r="AF14" s="18" t="n">
        <f aca="false">SUMPRODUCT((Social!$C$6:$C$11&lt;=A14)*Social!$K$6:$K$11)</f>
        <v>433.333333333333</v>
      </c>
      <c r="AG14" s="18" t="n">
        <f aca="false">AC14*IF(A14&lt;=12,Ipotesi!$B$38,Ipotesi!$B$39)*Ipotesi!$B$22</f>
        <v>97.868925</v>
      </c>
      <c r="AH14" s="18" t="n">
        <f aca="false">AD14-AE14-AF14-AG14</f>
        <v>-1108.91275833333</v>
      </c>
      <c r="AI14" s="18" t="n">
        <f aca="false">AI13+AH14</f>
        <v>-9576.138515625</v>
      </c>
      <c r="AJ14" s="18" t="n">
        <f aca="false">U14+AI14</f>
        <v>-20752.544390625</v>
      </c>
      <c r="AK14" s="18" t="n">
        <f aca="false">AC14*Ipotesi!$B$37*Ipotesi!$B$20+IF(A14&gt;Ipotesi!$B$21,INDEX($AC$5:$AC$40,A14-Ipotesi!$B$21)*Ipotesi!$B$37*(1-Ipotesi!$B$20),0)+(AA14-AC14)*Ipotesi!$B$19</f>
        <v>282.223083333333</v>
      </c>
      <c r="AL14" s="18" t="n">
        <f aca="false">X14+SUM($AK$5:AK14)-SUM($AE$5:AE14)-SUM($AG$5:AG14)</f>
        <v>-12929.8327586806</v>
      </c>
      <c r="AM14" s="45" t="n">
        <f aca="false">IF(AJ14&gt;=0,A14,999)</f>
        <v>999</v>
      </c>
    </row>
    <row r="15" customFormat="false" ht="15" hidden="false" customHeight="false" outlineLevel="0" collapsed="false">
      <c r="A15" s="25" t="n">
        <v>11</v>
      </c>
      <c r="B15" s="45" t="n">
        <f aca="false">INT((A15-1)/12)+1</f>
        <v>1</v>
      </c>
      <c r="C15" s="45" t="n">
        <f aca="false">MOD(Ipotesi!$B$7-1+A15-1,12)+1</f>
        <v>9</v>
      </c>
      <c r="D15" s="46" t="n">
        <f aca="false">INDEX(Ipotesi!$B$58:$B$69,C15)</f>
        <v>1.1</v>
      </c>
      <c r="E15" s="45" t="n">
        <f aca="false">Ipotesi!$B$47*MIN(1,(A15/Ipotesi!$B$18)^2)*(1+Ipotesi!$B$48)^(MAX(0,A15-12)/12)*D15</f>
        <v>2200</v>
      </c>
      <c r="F15" s="20" t="n">
        <f aca="false">E15*Ipotesi!$B$49</f>
        <v>4.4</v>
      </c>
      <c r="G15" s="20" t="n">
        <f aca="false">F15*Ipotesi!$B$50</f>
        <v>1.54</v>
      </c>
      <c r="H15" s="20" t="n">
        <f aca="false">G15*Ipotesi!$B$51</f>
        <v>0.847</v>
      </c>
      <c r="I15" s="20" t="n">
        <f aca="false">IF(A15&lt;=12,Ipotesi!$B$42,Ipotesi!$B$43)</f>
        <v>8.92193308550186</v>
      </c>
      <c r="J15" s="20" t="n">
        <f aca="false">MIN(H15,I15)</f>
        <v>0.847</v>
      </c>
      <c r="K15" s="20" t="n">
        <f aca="false">H15-J15</f>
        <v>0</v>
      </c>
      <c r="L15" s="18" t="n">
        <f aca="false">J15*Ipotesi!$B$37</f>
        <v>1723.645</v>
      </c>
      <c r="M15" s="18" t="n">
        <f aca="false">(G15-J15)*Ipotesi!$B$19</f>
        <v>69.3</v>
      </c>
      <c r="N15" s="18" t="n">
        <f aca="false">IF(A15&gt;=Ipotesi!$B$26,Ipotesi!$B$52*Ipotesi!$B$25/12,0)</f>
        <v>0</v>
      </c>
      <c r="O15" s="18" t="n">
        <f aca="false">IF(A15&gt;=Ipotesi!$B$27,Ipotesi!$B$53,0)</f>
        <v>0</v>
      </c>
      <c r="P15" s="18" t="n">
        <f aca="false">SUM(L15:O15)</f>
        <v>1792.945</v>
      </c>
      <c r="Q15" s="18" t="n">
        <f aca="false">IF(A15=1,Ipotesi!$B$10+Ipotesi!$B$11,0)+Ipotesi!$B$8*Ipotesi!$B$9+Ipotesi!$B$12+Ipotesi!$B$13+Ipotesi!$B$16*52/12*Ipotesi!$B$17</f>
        <v>620</v>
      </c>
      <c r="R15" s="18" t="n">
        <f aca="false">Ipotesi!$B$14*52/12*Ipotesi!$B$15</f>
        <v>1040</v>
      </c>
      <c r="S15" s="18" t="n">
        <f aca="false">J15*IF(A15&lt;=12,Ipotesi!$B$38,Ipotesi!$B$39)*Ipotesi!$B$22</f>
        <v>512.64675</v>
      </c>
      <c r="T15" s="18" t="n">
        <f aca="false">P15-Q15-R15-S15</f>
        <v>-379.70175</v>
      </c>
      <c r="U15" s="18" t="n">
        <f aca="false">U14+T15</f>
        <v>-11556.107625</v>
      </c>
      <c r="V15" s="18" t="n">
        <f aca="false">L15*Ipotesi!$B$20+IF(A15&gt;Ipotesi!$B$21,INDEX($L$5:$L$40,A15-Ipotesi!$B$21)*(1-Ipotesi!$B$20),0)+M15+N15+O15</f>
        <v>1529.61034722222</v>
      </c>
      <c r="W15" s="18" t="n">
        <f aca="false">V15-Q15-S15</f>
        <v>396.963597222223</v>
      </c>
      <c r="X15" s="18" t="n">
        <f aca="false">X14+W15</f>
        <v>-4895.305125</v>
      </c>
      <c r="Y15" s="45" t="n">
        <f aca="false">IF(U15&gt;=0,A15,999)</f>
        <v>999</v>
      </c>
      <c r="Z15" s="20" t="n">
        <f aca="false">F15*SUMPRODUCT((Social!$C$6:$C$11&lt;=A15)*Social!$B$6:$B$11*Social!$I$6:$I$11)</f>
        <v>1.32</v>
      </c>
      <c r="AA15" s="20" t="n">
        <f aca="false">Z15*Ipotesi!$B$50</f>
        <v>0.462</v>
      </c>
      <c r="AB15" s="20" t="n">
        <f aca="false">AA15*Ipotesi!$B$51</f>
        <v>0.2541</v>
      </c>
      <c r="AC15" s="20" t="n">
        <f aca="false">MIN(AB15,MAX(0,I15-J15))</f>
        <v>0.2541</v>
      </c>
      <c r="AD15" s="18" t="n">
        <f aca="false">AC15*Ipotesi!$B$37+(AA15-AC15)*Ipotesi!$B$19</f>
        <v>537.8835</v>
      </c>
      <c r="AE15" s="18" t="n">
        <f aca="false">SUMPRODUCT((Social!$C$6:$C$11&lt;=A15)*Social!$J$6:$J$11)</f>
        <v>920</v>
      </c>
      <c r="AF15" s="18" t="n">
        <f aca="false">SUMPRODUCT((Social!$C$6:$C$11&lt;=A15)*Social!$K$6:$K$11)</f>
        <v>433.333333333333</v>
      </c>
      <c r="AG15" s="18" t="n">
        <f aca="false">AC15*IF(A15&lt;=12,Ipotesi!$B$38,Ipotesi!$B$39)*Ipotesi!$B$22</f>
        <v>153.794025</v>
      </c>
      <c r="AH15" s="18" t="n">
        <f aca="false">AD15-AE15-AF15-AG15</f>
        <v>-969.243858333333</v>
      </c>
      <c r="AI15" s="18" t="n">
        <f aca="false">AI14+AH15</f>
        <v>-10545.3823739583</v>
      </c>
      <c r="AJ15" s="18" t="n">
        <f aca="false">U15+AI15</f>
        <v>-22101.4899989583</v>
      </c>
      <c r="AK15" s="18" t="n">
        <f aca="false">AC15*Ipotesi!$B$37*Ipotesi!$B$20+IF(A15&gt;Ipotesi!$B$21,INDEX($AC$5:$AC$40,A15-Ipotesi!$B$21)*Ipotesi!$B$37*(1-Ipotesi!$B$20),0)+(AA15-AC15)*Ipotesi!$B$19</f>
        <v>458.883104166667</v>
      </c>
      <c r="AL15" s="18" t="n">
        <f aca="false">X15+SUM($AK$5:AK15)-SUM($AE$5:AE15)-SUM($AG$5:AG15)</f>
        <v>-13147.7800822917</v>
      </c>
      <c r="AM15" s="45" t="n">
        <f aca="false">IF(AJ15&gt;=0,A15,999)</f>
        <v>999</v>
      </c>
    </row>
    <row r="16" customFormat="false" ht="15" hidden="false" customHeight="false" outlineLevel="0" collapsed="false">
      <c r="A16" s="25" t="n">
        <v>12</v>
      </c>
      <c r="B16" s="45" t="n">
        <f aca="false">INT((A16-1)/12)+1</f>
        <v>1</v>
      </c>
      <c r="C16" s="45" t="n">
        <f aca="false">MOD(Ipotesi!$B$7-1+A16-1,12)+1</f>
        <v>10</v>
      </c>
      <c r="D16" s="46" t="n">
        <f aca="false">INDEX(Ipotesi!$B$58:$B$69,C16)</f>
        <v>1.1</v>
      </c>
      <c r="E16" s="45" t="n">
        <f aca="false">Ipotesi!$B$47*MIN(1,(A16/Ipotesi!$B$18)^2)*(1+Ipotesi!$B$48)^(MAX(0,A16-12)/12)*D16</f>
        <v>2200</v>
      </c>
      <c r="F16" s="20" t="n">
        <f aca="false">E16*Ipotesi!$B$49</f>
        <v>4.4</v>
      </c>
      <c r="G16" s="20" t="n">
        <f aca="false">F16*Ipotesi!$B$50</f>
        <v>1.54</v>
      </c>
      <c r="H16" s="20" t="n">
        <f aca="false">G16*Ipotesi!$B$51</f>
        <v>0.847</v>
      </c>
      <c r="I16" s="20" t="n">
        <f aca="false">IF(A16&lt;=12,Ipotesi!$B$42,Ipotesi!$B$43)</f>
        <v>8.92193308550186</v>
      </c>
      <c r="J16" s="20" t="n">
        <f aca="false">MIN(H16,I16)</f>
        <v>0.847</v>
      </c>
      <c r="K16" s="20" t="n">
        <f aca="false">H16-J16</f>
        <v>0</v>
      </c>
      <c r="L16" s="18" t="n">
        <f aca="false">J16*Ipotesi!$B$37</f>
        <v>1723.645</v>
      </c>
      <c r="M16" s="18" t="n">
        <f aca="false">(G16-J16)*Ipotesi!$B$19</f>
        <v>69.3</v>
      </c>
      <c r="N16" s="18" t="n">
        <f aca="false">IF(A16&gt;=Ipotesi!$B$26,Ipotesi!$B$52*Ipotesi!$B$25/12,0)</f>
        <v>0</v>
      </c>
      <c r="O16" s="18" t="n">
        <f aca="false">IF(A16&gt;=Ipotesi!$B$27,Ipotesi!$B$53,0)</f>
        <v>0</v>
      </c>
      <c r="P16" s="18" t="n">
        <f aca="false">SUM(L16:O16)</f>
        <v>1792.945</v>
      </c>
      <c r="Q16" s="18" t="n">
        <f aca="false">IF(A16=1,Ipotesi!$B$10+Ipotesi!$B$11,0)+Ipotesi!$B$8*Ipotesi!$B$9+Ipotesi!$B$12+Ipotesi!$B$13+Ipotesi!$B$16*52/12*Ipotesi!$B$17</f>
        <v>620</v>
      </c>
      <c r="R16" s="18" t="n">
        <f aca="false">Ipotesi!$B$14*52/12*Ipotesi!$B$15</f>
        <v>1040</v>
      </c>
      <c r="S16" s="18" t="n">
        <f aca="false">J16*IF(A16&lt;=12,Ipotesi!$B$38,Ipotesi!$B$39)*Ipotesi!$B$22</f>
        <v>512.64675</v>
      </c>
      <c r="T16" s="18" t="n">
        <f aca="false">P16-Q16-R16-S16</f>
        <v>-379.70175</v>
      </c>
      <c r="U16" s="18" t="n">
        <f aca="false">U15+T16</f>
        <v>-11935.809375</v>
      </c>
      <c r="V16" s="18" t="n">
        <f aca="false">L16*Ipotesi!$B$20+IF(A16&gt;Ipotesi!$B$21,INDEX($L$5:$L$40,A16-Ipotesi!$B$21)*(1-Ipotesi!$B$20),0)+M16+N16+O16</f>
        <v>1871.2925</v>
      </c>
      <c r="W16" s="18" t="n">
        <f aca="false">V16-Q16-S16</f>
        <v>738.64575</v>
      </c>
      <c r="X16" s="18" t="n">
        <f aca="false">X15+W16</f>
        <v>-4156.659375</v>
      </c>
      <c r="Y16" s="45" t="n">
        <f aca="false">IF(U16&gt;=0,A16,999)</f>
        <v>999</v>
      </c>
      <c r="Z16" s="20" t="n">
        <f aca="false">F16*SUMPRODUCT((Social!$C$6:$C$11&lt;=A16)*Social!$B$6:$B$11*Social!$I$6:$I$11)</f>
        <v>1.32</v>
      </c>
      <c r="AA16" s="20" t="n">
        <f aca="false">Z16*Ipotesi!$B$50</f>
        <v>0.462</v>
      </c>
      <c r="AB16" s="20" t="n">
        <f aca="false">AA16*Ipotesi!$B$51</f>
        <v>0.2541</v>
      </c>
      <c r="AC16" s="20" t="n">
        <f aca="false">MIN(AB16,MAX(0,I16-J16))</f>
        <v>0.2541</v>
      </c>
      <c r="AD16" s="18" t="n">
        <f aca="false">AC16*Ipotesi!$B$37+(AA16-AC16)*Ipotesi!$B$19</f>
        <v>537.8835</v>
      </c>
      <c r="AE16" s="18" t="n">
        <f aca="false">SUMPRODUCT((Social!$C$6:$C$11&lt;=A16)*Social!$J$6:$J$11)</f>
        <v>920</v>
      </c>
      <c r="AF16" s="18" t="n">
        <f aca="false">SUMPRODUCT((Social!$C$6:$C$11&lt;=A16)*Social!$K$6:$K$11)</f>
        <v>433.333333333333</v>
      </c>
      <c r="AG16" s="18" t="n">
        <f aca="false">AC16*IF(A16&lt;=12,Ipotesi!$B$38,Ipotesi!$B$39)*Ipotesi!$B$22</f>
        <v>153.794025</v>
      </c>
      <c r="AH16" s="18" t="n">
        <f aca="false">AD16-AE16-AF16-AG16</f>
        <v>-969.243858333333</v>
      </c>
      <c r="AI16" s="18" t="n">
        <f aca="false">AI15+AH16</f>
        <v>-11514.6262322917</v>
      </c>
      <c r="AJ16" s="18" t="n">
        <f aca="false">U16+AI16</f>
        <v>-23450.4356072917</v>
      </c>
      <c r="AK16" s="18" t="n">
        <f aca="false">AC16*Ipotesi!$B$37*Ipotesi!$B$20+IF(A16&gt;Ipotesi!$B$21,INDEX($AC$5:$AC$40,A16-Ipotesi!$B$21)*Ipotesi!$B$37*(1-Ipotesi!$B$20),0)+(AA16-AC16)*Ipotesi!$B$19</f>
        <v>561.38775</v>
      </c>
      <c r="AL16" s="18" t="n">
        <f aca="false">X16+SUM($AK$5:AK16)-SUM($AE$5:AE16)-SUM($AG$5:AG16)</f>
        <v>-12921.5406072917</v>
      </c>
      <c r="AM16" s="45" t="n">
        <f aca="false">IF(AJ16&gt;=0,A16,999)</f>
        <v>999</v>
      </c>
    </row>
    <row r="17" customFormat="false" ht="15" hidden="false" customHeight="false" outlineLevel="0" collapsed="false">
      <c r="A17" s="25" t="n">
        <v>13</v>
      </c>
      <c r="B17" s="45" t="n">
        <f aca="false">INT((A17-1)/12)+1</f>
        <v>2</v>
      </c>
      <c r="C17" s="45" t="n">
        <f aca="false">MOD(Ipotesi!$B$7-1+A17-1,12)+1</f>
        <v>11</v>
      </c>
      <c r="D17" s="46" t="n">
        <f aca="false">INDEX(Ipotesi!$B$58:$B$69,C17)</f>
        <v>1</v>
      </c>
      <c r="E17" s="45" t="n">
        <f aca="false">Ipotesi!$B$47*MIN(1,(A17/Ipotesi!$B$18)^2)*(1+Ipotesi!$B$48)^(MAX(0,A17-12)/12)*D17</f>
        <v>2037.53853024301</v>
      </c>
      <c r="F17" s="20" t="n">
        <f aca="false">E17*Ipotesi!$B$49</f>
        <v>4.07507706048602</v>
      </c>
      <c r="G17" s="20" t="n">
        <f aca="false">F17*Ipotesi!$B$50</f>
        <v>1.42627697117011</v>
      </c>
      <c r="H17" s="20" t="n">
        <f aca="false">G17*Ipotesi!$B$51</f>
        <v>0.78445233414356</v>
      </c>
      <c r="I17" s="20" t="n">
        <f aca="false">IF(A17&lt;=12,Ipotesi!$B$42,Ipotesi!$B$43)</f>
        <v>10.0418410041841</v>
      </c>
      <c r="J17" s="20" t="n">
        <f aca="false">MIN(H17,I17)</f>
        <v>0.78445233414356</v>
      </c>
      <c r="K17" s="20" t="n">
        <f aca="false">H17-J17</f>
        <v>0</v>
      </c>
      <c r="L17" s="18" t="n">
        <f aca="false">J17*Ipotesi!$B$37</f>
        <v>1596.36049998214</v>
      </c>
      <c r="M17" s="18" t="n">
        <f aca="false">(G17-J17)*Ipotesi!$B$19</f>
        <v>64.1824637026549</v>
      </c>
      <c r="N17" s="18" t="n">
        <f aca="false">IF(A17&gt;=Ipotesi!$B$26,Ipotesi!$B$52*Ipotesi!$B$25/12,0)</f>
        <v>0</v>
      </c>
      <c r="O17" s="18" t="n">
        <f aca="false">IF(A17&gt;=Ipotesi!$B$27,Ipotesi!$B$53,0)</f>
        <v>0</v>
      </c>
      <c r="P17" s="18" t="n">
        <f aca="false">SUM(L17:O17)</f>
        <v>1660.5429636848</v>
      </c>
      <c r="Q17" s="18" t="n">
        <f aca="false">IF(A17=1,Ipotesi!$B$10+Ipotesi!$B$11,0)+Ipotesi!$B$8*Ipotesi!$B$9+Ipotesi!$B$12+Ipotesi!$B$13+Ipotesi!$B$16*52/12*Ipotesi!$B$17</f>
        <v>620</v>
      </c>
      <c r="R17" s="18" t="n">
        <f aca="false">Ipotesi!$B$14*52/12*Ipotesi!$B$15</f>
        <v>1040</v>
      </c>
      <c r="S17" s="18" t="n">
        <f aca="false">J17*IF(A17&lt;=12,Ipotesi!$B$38,Ipotesi!$B$39)*Ipotesi!$B$22</f>
        <v>421.839242685699</v>
      </c>
      <c r="T17" s="18" t="n">
        <f aca="false">P17-Q17-R17-S17</f>
        <v>-421.2962790009</v>
      </c>
      <c r="U17" s="18" t="n">
        <f aca="false">U16+T17</f>
        <v>-12357.1056540009</v>
      </c>
      <c r="V17" s="18" t="n">
        <f aca="false">L17*Ipotesi!$B$20+IF(A17&gt;Ipotesi!$B$21,INDEX($L$5:$L$40,A17-Ipotesi!$B$21)*(1-Ipotesi!$B$20),0)+M17+N17+O17</f>
        <v>1724.18521369373</v>
      </c>
      <c r="W17" s="18" t="n">
        <f aca="false">V17-Q17-S17</f>
        <v>682.345971008028</v>
      </c>
      <c r="X17" s="18" t="n">
        <f aca="false">X16+W17</f>
        <v>-3474.31340399197</v>
      </c>
      <c r="Y17" s="45" t="n">
        <f aca="false">IF(U17&gt;=0,A17,999)</f>
        <v>999</v>
      </c>
      <c r="Z17" s="20" t="n">
        <f aca="false">F17*SUMPRODUCT((Social!$C$6:$C$11&lt;=A17)*Social!$B$6:$B$11*Social!$I$6:$I$11)</f>
        <v>1.22252311814581</v>
      </c>
      <c r="AA17" s="20" t="n">
        <f aca="false">Z17*Ipotesi!$B$50</f>
        <v>0.427883091351033</v>
      </c>
      <c r="AB17" s="20" t="n">
        <f aca="false">AA17*Ipotesi!$B$51</f>
        <v>0.235335700243068</v>
      </c>
      <c r="AC17" s="20" t="n">
        <f aca="false">MIN(AB17,MAX(0,I17-J17))</f>
        <v>0.235335700243068</v>
      </c>
      <c r="AD17" s="18" t="n">
        <f aca="false">AC17*Ipotesi!$B$37+(AA17-AC17)*Ipotesi!$B$19</f>
        <v>498.16288910544</v>
      </c>
      <c r="AE17" s="18" t="n">
        <f aca="false">SUMPRODUCT((Social!$C$6:$C$11&lt;=A17)*Social!$J$6:$J$11)</f>
        <v>920</v>
      </c>
      <c r="AF17" s="18" t="n">
        <f aca="false">SUMPRODUCT((Social!$C$6:$C$11&lt;=A17)*Social!$K$6:$K$11)</f>
        <v>433.333333333333</v>
      </c>
      <c r="AG17" s="18" t="n">
        <f aca="false">AC17*IF(A17&lt;=12,Ipotesi!$B$38,Ipotesi!$B$39)*Ipotesi!$B$22</f>
        <v>126.55177280571</v>
      </c>
      <c r="AH17" s="18" t="n">
        <f aca="false">AD17-AE17-AF17-AG17</f>
        <v>-981.722217033603</v>
      </c>
      <c r="AI17" s="18" t="n">
        <f aca="false">AI16+AH17</f>
        <v>-12496.3484493253</v>
      </c>
      <c r="AJ17" s="18" t="n">
        <f aca="false">U17+AI17</f>
        <v>-24853.4541033262</v>
      </c>
      <c r="AK17" s="18" t="n">
        <f aca="false">AC17*Ipotesi!$B$37*Ipotesi!$B$20+IF(A17&gt;Ipotesi!$B$21,INDEX($AC$5:$AC$40,A17-Ipotesi!$B$21)*Ipotesi!$B$37*(1-Ipotesi!$B$20),0)+(AA17-AC17)*Ipotesi!$B$19</f>
        <v>517.255564108118</v>
      </c>
      <c r="AL17" s="18" t="n">
        <f aca="false">X17+SUM($AK$5:AK17)-SUM($AE$5:AE17)-SUM($AG$5:AG17)</f>
        <v>-12768.4908449812</v>
      </c>
      <c r="AM17" s="45" t="n">
        <f aca="false">IF(AJ17&gt;=0,A17,999)</f>
        <v>999</v>
      </c>
    </row>
    <row r="18" customFormat="false" ht="15" hidden="false" customHeight="false" outlineLevel="0" collapsed="false">
      <c r="A18" s="25" t="n">
        <v>14</v>
      </c>
      <c r="B18" s="45" t="n">
        <f aca="false">INT((A18-1)/12)+1</f>
        <v>2</v>
      </c>
      <c r="C18" s="45" t="n">
        <f aca="false">MOD(Ipotesi!$B$7-1+A18-1,12)+1</f>
        <v>12</v>
      </c>
      <c r="D18" s="46" t="n">
        <f aca="false">INDEX(Ipotesi!$B$58:$B$69,C18)</f>
        <v>0.8</v>
      </c>
      <c r="E18" s="45" t="n">
        <f aca="false">Ipotesi!$B$47*MIN(1,(A18/Ipotesi!$B$18)^2)*(1+Ipotesi!$B$48)^(MAX(0,A18-12)/12)*D18</f>
        <v>1660.62530488994</v>
      </c>
      <c r="F18" s="20" t="n">
        <f aca="false">E18*Ipotesi!$B$49</f>
        <v>3.32125060977988</v>
      </c>
      <c r="G18" s="20" t="n">
        <f aca="false">F18*Ipotesi!$B$50</f>
        <v>1.16243771342296</v>
      </c>
      <c r="H18" s="20" t="n">
        <f aca="false">G18*Ipotesi!$B$51</f>
        <v>0.639340742382628</v>
      </c>
      <c r="I18" s="20" t="n">
        <f aca="false">IF(A18&lt;=12,Ipotesi!$B$42,Ipotesi!$B$43)</f>
        <v>10.0418410041841</v>
      </c>
      <c r="J18" s="20" t="n">
        <f aca="false">MIN(H18,I18)</f>
        <v>0.639340742382628</v>
      </c>
      <c r="K18" s="20" t="n">
        <f aca="false">H18-J18</f>
        <v>0</v>
      </c>
      <c r="L18" s="18" t="n">
        <f aca="false">J18*Ipotesi!$B$37</f>
        <v>1301.05841074865</v>
      </c>
      <c r="M18" s="18" t="n">
        <f aca="false">(G18-J18)*Ipotesi!$B$19</f>
        <v>52.3096971040332</v>
      </c>
      <c r="N18" s="18" t="n">
        <f aca="false">IF(A18&gt;=Ipotesi!$B$26,Ipotesi!$B$52*Ipotesi!$B$25/12,0)</f>
        <v>0</v>
      </c>
      <c r="O18" s="18" t="n">
        <f aca="false">IF(A18&gt;=Ipotesi!$B$27,Ipotesi!$B$53,0)</f>
        <v>0</v>
      </c>
      <c r="P18" s="18" t="n">
        <f aca="false">SUM(L18:O18)</f>
        <v>1353.36810785268</v>
      </c>
      <c r="Q18" s="18" t="n">
        <f aca="false">IF(A18=1,Ipotesi!$B$10+Ipotesi!$B$11,0)+Ipotesi!$B$8*Ipotesi!$B$9+Ipotesi!$B$12+Ipotesi!$B$13+Ipotesi!$B$16*52/12*Ipotesi!$B$17</f>
        <v>620</v>
      </c>
      <c r="R18" s="18" t="n">
        <f aca="false">Ipotesi!$B$14*52/12*Ipotesi!$B$15</f>
        <v>1040</v>
      </c>
      <c r="S18" s="18" t="n">
        <f aca="false">J18*IF(A18&lt;=12,Ipotesi!$B$38,Ipotesi!$B$39)*Ipotesi!$B$22</f>
        <v>343.805484216258</v>
      </c>
      <c r="T18" s="18" t="n">
        <f aca="false">P18-Q18-R18-S18</f>
        <v>-650.437376363578</v>
      </c>
      <c r="U18" s="18" t="n">
        <f aca="false">U17+T18</f>
        <v>-13007.5430303645</v>
      </c>
      <c r="V18" s="18" t="n">
        <f aca="false">L18*Ipotesi!$B$20+IF(A18&gt;Ipotesi!$B$21,INDEX($L$5:$L$40,A18-Ipotesi!$B$21)*(1-Ipotesi!$B$20),0)+M18+N18+O18</f>
        <v>1486.31390247836</v>
      </c>
      <c r="W18" s="18" t="n">
        <f aca="false">V18-Q18-S18</f>
        <v>522.508418262099</v>
      </c>
      <c r="X18" s="18" t="n">
        <f aca="false">X17+W18</f>
        <v>-2951.80498572987</v>
      </c>
      <c r="Y18" s="45" t="n">
        <f aca="false">IF(U18&gt;=0,A18,999)</f>
        <v>999</v>
      </c>
      <c r="Z18" s="20" t="n">
        <f aca="false">F18*SUMPRODUCT((Social!$C$6:$C$11&lt;=A18)*Social!$B$6:$B$11*Social!$I$6:$I$11)</f>
        <v>0.996375182933965</v>
      </c>
      <c r="AA18" s="20" t="n">
        <f aca="false">Z18*Ipotesi!$B$50</f>
        <v>0.348731314026888</v>
      </c>
      <c r="AB18" s="20" t="n">
        <f aca="false">AA18*Ipotesi!$B$51</f>
        <v>0.191802222714788</v>
      </c>
      <c r="AC18" s="20" t="n">
        <f aca="false">MIN(AB18,MAX(0,I18-J18))</f>
        <v>0.191802222714788</v>
      </c>
      <c r="AD18" s="18" t="n">
        <f aca="false">AC18*Ipotesi!$B$37+(AA18-AC18)*Ipotesi!$B$19</f>
        <v>406.010432355804</v>
      </c>
      <c r="AE18" s="18" t="n">
        <f aca="false">SUMPRODUCT((Social!$C$6:$C$11&lt;=A18)*Social!$J$6:$J$11)</f>
        <v>920</v>
      </c>
      <c r="AF18" s="18" t="n">
        <f aca="false">SUMPRODUCT((Social!$C$6:$C$11&lt;=A18)*Social!$K$6:$K$11)</f>
        <v>433.333333333333</v>
      </c>
      <c r="AG18" s="18" t="n">
        <f aca="false">AC18*IF(A18&lt;=12,Ipotesi!$B$38,Ipotesi!$B$39)*Ipotesi!$B$22</f>
        <v>103.141645264877</v>
      </c>
      <c r="AH18" s="18" t="n">
        <f aca="false">AD18-AE18-AF18-AG18</f>
        <v>-1050.46454624241</v>
      </c>
      <c r="AI18" s="18" t="n">
        <f aca="false">AI17+AH18</f>
        <v>-13546.8129955677</v>
      </c>
      <c r="AJ18" s="18" t="n">
        <f aca="false">U18+AI18</f>
        <v>-26554.3560259322</v>
      </c>
      <c r="AK18" s="18" t="n">
        <f aca="false">AC18*Ipotesi!$B$37*Ipotesi!$B$20+IF(A18&gt;Ipotesi!$B$21,INDEX($AC$5:$AC$40,A18-Ipotesi!$B$21)*Ipotesi!$B$37*(1-Ipotesi!$B$20),0)+(AA18-AC18)*Ipotesi!$B$19</f>
        <v>445.894170743507</v>
      </c>
      <c r="AL18" s="18" t="n">
        <f aca="false">X18+SUM($AK$5:AK18)-SUM($AE$5:AE18)-SUM($AG$5:AG18)</f>
        <v>-12823.2299012405</v>
      </c>
      <c r="AM18" s="45" t="n">
        <f aca="false">IF(AJ18&gt;=0,A18,999)</f>
        <v>999</v>
      </c>
    </row>
    <row r="19" customFormat="false" ht="15" hidden="false" customHeight="false" outlineLevel="0" collapsed="false">
      <c r="A19" s="25" t="n">
        <v>15</v>
      </c>
      <c r="B19" s="45" t="n">
        <f aca="false">INT((A19-1)/12)+1</f>
        <v>2</v>
      </c>
      <c r="C19" s="45" t="n">
        <f aca="false">MOD(Ipotesi!$B$7-1+A19-1,12)+1</f>
        <v>1</v>
      </c>
      <c r="D19" s="46" t="n">
        <f aca="false">INDEX(Ipotesi!$B$58:$B$69,C19)</f>
        <v>0.9</v>
      </c>
      <c r="E19" s="45" t="n">
        <f aca="false">Ipotesi!$B$47*MIN(1,(A19/Ipotesi!$B$18)^2)*(1+Ipotesi!$B$48)^(MAX(0,A19-12)/12)*D19</f>
        <v>1903.26827419302</v>
      </c>
      <c r="F19" s="20" t="n">
        <f aca="false">E19*Ipotesi!$B$49</f>
        <v>3.80653654838603</v>
      </c>
      <c r="G19" s="20" t="n">
        <f aca="false">F19*Ipotesi!$B$50</f>
        <v>1.33228779193511</v>
      </c>
      <c r="H19" s="20" t="n">
        <f aca="false">G19*Ipotesi!$B$51</f>
        <v>0.732758285564311</v>
      </c>
      <c r="I19" s="20" t="n">
        <f aca="false">IF(A19&lt;=12,Ipotesi!$B$42,Ipotesi!$B$43)</f>
        <v>10.0418410041841</v>
      </c>
      <c r="J19" s="20" t="n">
        <f aca="false">MIN(H19,I19)</f>
        <v>0.732758285564311</v>
      </c>
      <c r="K19" s="20" t="n">
        <f aca="false">H19-J19</f>
        <v>0</v>
      </c>
      <c r="L19" s="18" t="n">
        <f aca="false">J19*Ipotesi!$B$37</f>
        <v>1491.16311112337</v>
      </c>
      <c r="M19" s="18" t="n">
        <f aca="false">(G19-J19)*Ipotesi!$B$19</f>
        <v>59.95295063708</v>
      </c>
      <c r="N19" s="18" t="n">
        <f aca="false">IF(A19&gt;=Ipotesi!$B$26,Ipotesi!$B$52*Ipotesi!$B$25/12,0)</f>
        <v>0</v>
      </c>
      <c r="O19" s="18" t="n">
        <f aca="false">IF(A19&gt;=Ipotesi!$B$27,Ipotesi!$B$53,0)</f>
        <v>0</v>
      </c>
      <c r="P19" s="18" t="n">
        <f aca="false">SUM(L19:O19)</f>
        <v>1551.11606176045</v>
      </c>
      <c r="Q19" s="18" t="n">
        <f aca="false">IF(A19=1,Ipotesi!$B$10+Ipotesi!$B$11,0)+Ipotesi!$B$8*Ipotesi!$B$9+Ipotesi!$B$12+Ipotesi!$B$13+Ipotesi!$B$16*52/12*Ipotesi!$B$17</f>
        <v>620</v>
      </c>
      <c r="R19" s="18" t="n">
        <f aca="false">Ipotesi!$B$14*52/12*Ipotesi!$B$15</f>
        <v>1040</v>
      </c>
      <c r="S19" s="18" t="n">
        <f aca="false">J19*IF(A19&lt;=12,Ipotesi!$B$38,Ipotesi!$B$39)*Ipotesi!$B$22</f>
        <v>394.040768062208</v>
      </c>
      <c r="T19" s="18" t="n">
        <f aca="false">P19-Q19-R19-S19</f>
        <v>-502.924706301756</v>
      </c>
      <c r="U19" s="18" t="n">
        <f aca="false">U18+T19</f>
        <v>-13510.4677366662</v>
      </c>
      <c r="V19" s="18" t="n">
        <f aca="false">L19*Ipotesi!$B$20+IF(A19&gt;Ipotesi!$B$21,INDEX($L$5:$L$40,A19-Ipotesi!$B$21)*(1-Ipotesi!$B$20),0)+M19+N19+O19</f>
        <v>1589.00950619877</v>
      </c>
      <c r="W19" s="18" t="n">
        <f aca="false">V19-Q19-S19</f>
        <v>574.968738136558</v>
      </c>
      <c r="X19" s="18" t="n">
        <f aca="false">X18+W19</f>
        <v>-2376.83624759331</v>
      </c>
      <c r="Y19" s="45" t="n">
        <f aca="false">IF(U19&gt;=0,A19,999)</f>
        <v>999</v>
      </c>
      <c r="Z19" s="20" t="n">
        <f aca="false">F19*SUMPRODUCT((Social!$C$6:$C$11&lt;=A19)*Social!$B$6:$B$11*Social!$I$6:$I$11)</f>
        <v>1.14196096451581</v>
      </c>
      <c r="AA19" s="20" t="n">
        <f aca="false">Z19*Ipotesi!$B$50</f>
        <v>0.399686337580533</v>
      </c>
      <c r="AB19" s="20" t="n">
        <f aca="false">AA19*Ipotesi!$B$51</f>
        <v>0.219827485669293</v>
      </c>
      <c r="AC19" s="20" t="n">
        <f aca="false">MIN(AB19,MAX(0,I19-J19))</f>
        <v>0.219827485669293</v>
      </c>
      <c r="AD19" s="18" t="n">
        <f aca="false">AC19*Ipotesi!$B$37+(AA19-AC19)*Ipotesi!$B$19</f>
        <v>465.334818528136</v>
      </c>
      <c r="AE19" s="18" t="n">
        <f aca="false">SUMPRODUCT((Social!$C$6:$C$11&lt;=A19)*Social!$J$6:$J$11)</f>
        <v>920</v>
      </c>
      <c r="AF19" s="18" t="n">
        <f aca="false">SUMPRODUCT((Social!$C$6:$C$11&lt;=A19)*Social!$K$6:$K$11)</f>
        <v>433.333333333333</v>
      </c>
      <c r="AG19" s="18" t="n">
        <f aca="false">AC19*IF(A19&lt;=12,Ipotesi!$B$38,Ipotesi!$B$39)*Ipotesi!$B$22</f>
        <v>118.212230418662</v>
      </c>
      <c r="AH19" s="18" t="n">
        <f aca="false">AD19-AE19-AF19-AG19</f>
        <v>-1006.21074522386</v>
      </c>
      <c r="AI19" s="18" t="n">
        <f aca="false">AI18+AH19</f>
        <v>-14553.0237407915</v>
      </c>
      <c r="AJ19" s="18" t="n">
        <f aca="false">U19+AI19</f>
        <v>-28063.4914774578</v>
      </c>
      <c r="AK19" s="18" t="n">
        <f aca="false">AC19*Ipotesi!$B$37*Ipotesi!$B$20+IF(A19&gt;Ipotesi!$B$21,INDEX($AC$5:$AC$40,A19-Ipotesi!$B$21)*Ipotesi!$B$37*(1-Ipotesi!$B$20),0)+(AA19-AC19)*Ipotesi!$B$19</f>
        <v>476.70285185963</v>
      </c>
      <c r="AL19" s="18" t="n">
        <f aca="false">X19+SUM($AK$5:AK19)-SUM($AE$5:AE19)-SUM($AG$5:AG19)</f>
        <v>-12809.770541663</v>
      </c>
      <c r="AM19" s="45" t="n">
        <f aca="false">IF(AJ19&gt;=0,A19,999)</f>
        <v>999</v>
      </c>
    </row>
    <row r="20" customFormat="false" ht="15" hidden="false" customHeight="false" outlineLevel="0" collapsed="false">
      <c r="A20" s="25" t="n">
        <v>16</v>
      </c>
      <c r="B20" s="45" t="n">
        <f aca="false">INT((A20-1)/12)+1</f>
        <v>2</v>
      </c>
      <c r="C20" s="45" t="n">
        <f aca="false">MOD(Ipotesi!$B$7-1+A20-1,12)+1</f>
        <v>2</v>
      </c>
      <c r="D20" s="46" t="n">
        <f aca="false">INDEX(Ipotesi!$B$58:$B$69,C20)</f>
        <v>1</v>
      </c>
      <c r="E20" s="45" t="n">
        <f aca="false">Ipotesi!$B$47*MIN(1,(A20/Ipotesi!$B$18)^2)*(1+Ipotesi!$B$48)^(MAX(0,A20-12)/12)*D20</f>
        <v>2154.43469003188</v>
      </c>
      <c r="F20" s="20" t="n">
        <f aca="false">E20*Ipotesi!$B$49</f>
        <v>4.30886938006377</v>
      </c>
      <c r="G20" s="20" t="n">
        <f aca="false">F20*Ipotesi!$B$50</f>
        <v>1.50810428302232</v>
      </c>
      <c r="H20" s="20" t="n">
        <f aca="false">G20*Ipotesi!$B$51</f>
        <v>0.829457355662275</v>
      </c>
      <c r="I20" s="20" t="n">
        <f aca="false">IF(A20&lt;=12,Ipotesi!$B$42,Ipotesi!$B$43)</f>
        <v>10.0418410041841</v>
      </c>
      <c r="J20" s="20" t="n">
        <f aca="false">MIN(H20,I20)</f>
        <v>0.829457355662275</v>
      </c>
      <c r="K20" s="20" t="n">
        <f aca="false">H20-J20</f>
        <v>0</v>
      </c>
      <c r="L20" s="18" t="n">
        <f aca="false">J20*Ipotesi!$B$37</f>
        <v>1687.94571877273</v>
      </c>
      <c r="M20" s="18" t="n">
        <f aca="false">(G20-J20)*Ipotesi!$B$19</f>
        <v>67.8646927360043</v>
      </c>
      <c r="N20" s="18" t="n">
        <f aca="false">IF(A20&gt;=Ipotesi!$B$26,Ipotesi!$B$52*Ipotesi!$B$25/12,0)</f>
        <v>0</v>
      </c>
      <c r="O20" s="18" t="n">
        <f aca="false">IF(A20&gt;=Ipotesi!$B$27,Ipotesi!$B$53,0)</f>
        <v>0</v>
      </c>
      <c r="P20" s="18" t="n">
        <f aca="false">SUM(L20:O20)</f>
        <v>1755.81041150873</v>
      </c>
      <c r="Q20" s="18" t="n">
        <f aca="false">IF(A20=1,Ipotesi!$B$10+Ipotesi!$B$11,0)+Ipotesi!$B$8*Ipotesi!$B$9+Ipotesi!$B$12+Ipotesi!$B$13+Ipotesi!$B$16*52/12*Ipotesi!$B$17</f>
        <v>620</v>
      </c>
      <c r="R20" s="18" t="n">
        <f aca="false">Ipotesi!$B$14*52/12*Ipotesi!$B$15</f>
        <v>1040</v>
      </c>
      <c r="S20" s="18" t="n">
        <f aca="false">J20*IF(A20&lt;=12,Ipotesi!$B$38,Ipotesi!$B$39)*Ipotesi!$B$22</f>
        <v>446.040693007389</v>
      </c>
      <c r="T20" s="18" t="n">
        <f aca="false">P20-Q20-R20-S20</f>
        <v>-350.230281498654</v>
      </c>
      <c r="U20" s="18" t="n">
        <f aca="false">U19+T20</f>
        <v>-13860.6980181649</v>
      </c>
      <c r="V20" s="18" t="n">
        <f aca="false">L20*Ipotesi!$B$20+IF(A20&gt;Ipotesi!$B$21,INDEX($L$5:$L$40,A20-Ipotesi!$B$21)*(1-Ipotesi!$B$20),0)+M20+N20+O20</f>
        <v>1460.27005212237</v>
      </c>
      <c r="W20" s="18" t="n">
        <f aca="false">V20-Q20-S20</f>
        <v>394.229359114981</v>
      </c>
      <c r="X20" s="18" t="n">
        <f aca="false">X19+W20</f>
        <v>-1982.60688847833</v>
      </c>
      <c r="Y20" s="45" t="n">
        <f aca="false">IF(U20&gt;=0,A20,999)</f>
        <v>999</v>
      </c>
      <c r="Z20" s="20" t="n">
        <f aca="false">F20*SUMPRODUCT((Social!$C$6:$C$11&lt;=A20)*Social!$B$6:$B$11*Social!$I$6:$I$11)</f>
        <v>1.29266081401913</v>
      </c>
      <c r="AA20" s="20" t="n">
        <f aca="false">Z20*Ipotesi!$B$50</f>
        <v>0.452431284906696</v>
      </c>
      <c r="AB20" s="20" t="n">
        <f aca="false">AA20*Ipotesi!$B$51</f>
        <v>0.248837206698683</v>
      </c>
      <c r="AC20" s="20" t="n">
        <f aca="false">MIN(AB20,MAX(0,I20-J20))</f>
        <v>0.248837206698683</v>
      </c>
      <c r="AD20" s="18" t="n">
        <f aca="false">AC20*Ipotesi!$B$37+(AA20-AC20)*Ipotesi!$B$19</f>
        <v>526.74312345262</v>
      </c>
      <c r="AE20" s="18" t="n">
        <f aca="false">SUMPRODUCT((Social!$C$6:$C$11&lt;=A20)*Social!$J$6:$J$11)</f>
        <v>920</v>
      </c>
      <c r="AF20" s="18" t="n">
        <f aca="false">SUMPRODUCT((Social!$C$6:$C$11&lt;=A20)*Social!$K$6:$K$11)</f>
        <v>433.333333333333</v>
      </c>
      <c r="AG20" s="18" t="n">
        <f aca="false">AC20*IF(A20&lt;=12,Ipotesi!$B$38,Ipotesi!$B$39)*Ipotesi!$B$22</f>
        <v>133.812207902217</v>
      </c>
      <c r="AH20" s="18" t="n">
        <f aca="false">AD20-AE20-AF20-AG20</f>
        <v>-960.402417782929</v>
      </c>
      <c r="AI20" s="18" t="n">
        <f aca="false">AI19+AH20</f>
        <v>-15513.4261585745</v>
      </c>
      <c r="AJ20" s="18" t="n">
        <f aca="false">U20+AI20</f>
        <v>-29374.1241767394</v>
      </c>
      <c r="AK20" s="18" t="n">
        <f aca="false">AC20*Ipotesi!$B$37*Ipotesi!$B$20+IF(A20&gt;Ipotesi!$B$21,INDEX($AC$5:$AC$40,A20-Ipotesi!$B$21)*Ipotesi!$B$37*(1-Ipotesi!$B$20),0)+(AA20-AC20)*Ipotesi!$B$19</f>
        <v>438.081015636711</v>
      </c>
      <c r="AL20" s="18" t="n">
        <f aca="false">X20+SUM($AK$5:AK20)-SUM($AE$5:AE20)-SUM($AG$5:AG20)</f>
        <v>-13031.2723748135</v>
      </c>
      <c r="AM20" s="45" t="n">
        <f aca="false">IF(AJ20&gt;=0,A20,999)</f>
        <v>999</v>
      </c>
    </row>
    <row r="21" customFormat="false" ht="15" hidden="false" customHeight="false" outlineLevel="0" collapsed="false">
      <c r="A21" s="25" t="n">
        <v>17</v>
      </c>
      <c r="B21" s="45" t="n">
        <f aca="false">INT((A21-1)/12)+1</f>
        <v>2</v>
      </c>
      <c r="C21" s="45" t="n">
        <f aca="false">MOD(Ipotesi!$B$7-1+A21-1,12)+1</f>
        <v>3</v>
      </c>
      <c r="D21" s="46" t="n">
        <f aca="false">INDEX(Ipotesi!$B$58:$B$69,C21)</f>
        <v>1.1</v>
      </c>
      <c r="E21" s="45" t="n">
        <f aca="false">Ipotesi!$B$47*MIN(1,(A21/Ipotesi!$B$18)^2)*(1+Ipotesi!$B$48)^(MAX(0,A21-12)/12)*D21</f>
        <v>2414.35903050767</v>
      </c>
      <c r="F21" s="20" t="n">
        <f aca="false">E21*Ipotesi!$B$49</f>
        <v>4.82871806101534</v>
      </c>
      <c r="G21" s="20" t="n">
        <f aca="false">F21*Ipotesi!$B$50</f>
        <v>1.69005132135537</v>
      </c>
      <c r="H21" s="20" t="n">
        <f aca="false">G21*Ipotesi!$B$51</f>
        <v>0.929528226745452</v>
      </c>
      <c r="I21" s="20" t="n">
        <f aca="false">IF(A21&lt;=12,Ipotesi!$B$42,Ipotesi!$B$43)</f>
        <v>10.0418410041841</v>
      </c>
      <c r="J21" s="20" t="n">
        <f aca="false">MIN(H21,I21)</f>
        <v>0.929528226745452</v>
      </c>
      <c r="K21" s="20" t="n">
        <f aca="false">H21-J21</f>
        <v>0</v>
      </c>
      <c r="L21" s="18" t="n">
        <f aca="false">J21*Ipotesi!$B$37</f>
        <v>1891.589941427</v>
      </c>
      <c r="M21" s="18" t="n">
        <f aca="false">(G21-J21)*Ipotesi!$B$19</f>
        <v>76.0523094609915</v>
      </c>
      <c r="N21" s="18" t="n">
        <f aca="false">IF(A21&gt;=Ipotesi!$B$26,Ipotesi!$B$52*Ipotesi!$B$25/12,0)</f>
        <v>0</v>
      </c>
      <c r="O21" s="18" t="n">
        <f aca="false">IF(A21&gt;=Ipotesi!$B$27,Ipotesi!$B$53,0)</f>
        <v>0</v>
      </c>
      <c r="P21" s="18" t="n">
        <f aca="false">SUM(L21:O21)</f>
        <v>1967.64225088799</v>
      </c>
      <c r="Q21" s="18" t="n">
        <f aca="false">IF(A21=1,Ipotesi!$B$10+Ipotesi!$B$11,0)+Ipotesi!$B$8*Ipotesi!$B$9+Ipotesi!$B$12+Ipotesi!$B$13+Ipotesi!$B$16*52/12*Ipotesi!$B$17</f>
        <v>620</v>
      </c>
      <c r="R21" s="18" t="n">
        <f aca="false">Ipotesi!$B$14*52/12*Ipotesi!$B$15</f>
        <v>1040</v>
      </c>
      <c r="S21" s="18" t="n">
        <f aca="false">J21*IF(A21&lt;=12,Ipotesi!$B$38,Ipotesi!$B$39)*Ipotesi!$B$22</f>
        <v>499.853803932367</v>
      </c>
      <c r="T21" s="18" t="n">
        <f aca="false">P21-Q21-R21-S21</f>
        <v>-192.21155304438</v>
      </c>
      <c r="U21" s="18" t="n">
        <f aca="false">U20+T21</f>
        <v>-14052.9095712093</v>
      </c>
      <c r="V21" s="18" t="n">
        <f aca="false">L21*Ipotesi!$B$20+IF(A21&gt;Ipotesi!$B$21,INDEX($L$5:$L$40,A21-Ipotesi!$B$21)*(1-Ipotesi!$B$20),0)+M21+N21+O21</f>
        <v>1883.66978017449</v>
      </c>
      <c r="W21" s="18" t="n">
        <f aca="false">V21-Q21-S21</f>
        <v>763.815976242123</v>
      </c>
      <c r="X21" s="18" t="n">
        <f aca="false">X20+W21</f>
        <v>-1218.79091223621</v>
      </c>
      <c r="Y21" s="45" t="n">
        <f aca="false">IF(U21&gt;=0,A21,999)</f>
        <v>999</v>
      </c>
      <c r="Z21" s="20" t="n">
        <f aca="false">F21*SUMPRODUCT((Social!$C$6:$C$11&lt;=A21)*Social!$B$6:$B$11*Social!$I$6:$I$11)</f>
        <v>1.4486154183046</v>
      </c>
      <c r="AA21" s="20" t="n">
        <f aca="false">Z21*Ipotesi!$B$50</f>
        <v>0.50701539640661</v>
      </c>
      <c r="AB21" s="20" t="n">
        <f aca="false">AA21*Ipotesi!$B$51</f>
        <v>0.278858468023636</v>
      </c>
      <c r="AC21" s="20" t="n">
        <f aca="false">MIN(AB21,MAX(0,I21-J21))</f>
        <v>0.278858468023636</v>
      </c>
      <c r="AD21" s="18" t="n">
        <f aca="false">AC21*Ipotesi!$B$37+(AA21-AC21)*Ipotesi!$B$19</f>
        <v>590.292675266396</v>
      </c>
      <c r="AE21" s="18" t="n">
        <f aca="false">SUMPRODUCT((Social!$C$6:$C$11&lt;=A21)*Social!$J$6:$J$11)</f>
        <v>920</v>
      </c>
      <c r="AF21" s="18" t="n">
        <f aca="false">SUMPRODUCT((Social!$C$6:$C$11&lt;=A21)*Social!$K$6:$K$11)</f>
        <v>433.333333333333</v>
      </c>
      <c r="AG21" s="18" t="n">
        <f aca="false">AC21*IF(A21&lt;=12,Ipotesi!$B$38,Ipotesi!$B$39)*Ipotesi!$B$22</f>
        <v>149.95614117971</v>
      </c>
      <c r="AH21" s="18" t="n">
        <f aca="false">AD21-AE21-AF21-AG21</f>
        <v>-912.996799246647</v>
      </c>
      <c r="AI21" s="18" t="n">
        <f aca="false">AI20+AH21</f>
        <v>-16426.4229578211</v>
      </c>
      <c r="AJ21" s="18" t="n">
        <f aca="false">U21+AI21</f>
        <v>-30479.3325290304</v>
      </c>
      <c r="AK21" s="18" t="n">
        <f aca="false">AC21*Ipotesi!$B$37*Ipotesi!$B$20+IF(A21&gt;Ipotesi!$B$21,INDEX($AC$5:$AC$40,A21-Ipotesi!$B$21)*Ipotesi!$B$37*(1-Ipotesi!$B$20),0)+(AA21-AC21)*Ipotesi!$B$19</f>
        <v>565.100934052347</v>
      </c>
      <c r="AL21" s="18" t="n">
        <f aca="false">X21+SUM($AK$5:AK21)-SUM($AE$5:AE21)-SUM($AG$5:AG21)</f>
        <v>-12772.3116056987</v>
      </c>
      <c r="AM21" s="45" t="n">
        <f aca="false">IF(AJ21&gt;=0,A21,999)</f>
        <v>999</v>
      </c>
    </row>
    <row r="22" customFormat="false" ht="15" hidden="false" customHeight="false" outlineLevel="0" collapsed="false">
      <c r="A22" s="25" t="n">
        <v>18</v>
      </c>
      <c r="B22" s="45" t="n">
        <f aca="false">INT((A22-1)/12)+1</f>
        <v>2</v>
      </c>
      <c r="C22" s="45" t="n">
        <f aca="false">MOD(Ipotesi!$B$7-1+A22-1,12)+1</f>
        <v>4</v>
      </c>
      <c r="D22" s="46" t="n">
        <f aca="false">INDEX(Ipotesi!$B$58:$B$69,C22)</f>
        <v>1.2</v>
      </c>
      <c r="E22" s="45" t="n">
        <f aca="false">Ipotesi!$B$47*MIN(1,(A22/Ipotesi!$B$18)^2)*(1+Ipotesi!$B$48)^(MAX(0,A22-12)/12)*D22</f>
        <v>2683.28157299975</v>
      </c>
      <c r="F22" s="20" t="n">
        <f aca="false">E22*Ipotesi!$B$49</f>
        <v>5.3665631459995</v>
      </c>
      <c r="G22" s="20" t="n">
        <f aca="false">F22*Ipotesi!$B$50</f>
        <v>1.87829710109982</v>
      </c>
      <c r="H22" s="20" t="n">
        <f aca="false">G22*Ipotesi!$B$51</f>
        <v>1.0330634056049</v>
      </c>
      <c r="I22" s="20" t="n">
        <f aca="false">IF(A22&lt;=12,Ipotesi!$B$42,Ipotesi!$B$43)</f>
        <v>10.0418410041841</v>
      </c>
      <c r="J22" s="20" t="n">
        <f aca="false">MIN(H22,I22)</f>
        <v>1.0330634056049</v>
      </c>
      <c r="K22" s="20" t="n">
        <f aca="false">H22-J22</f>
        <v>0</v>
      </c>
      <c r="L22" s="18" t="n">
        <f aca="false">J22*Ipotesi!$B$37</f>
        <v>2102.28403040598</v>
      </c>
      <c r="M22" s="18" t="n">
        <f aca="false">(G22-J22)*Ipotesi!$B$19</f>
        <v>84.5233695494921</v>
      </c>
      <c r="N22" s="18" t="n">
        <f aca="false">IF(A22&gt;=Ipotesi!$B$26,Ipotesi!$B$52*Ipotesi!$B$25/12,0)</f>
        <v>0</v>
      </c>
      <c r="O22" s="18" t="n">
        <f aca="false">IF(A22&gt;=Ipotesi!$B$27,Ipotesi!$B$53,0)</f>
        <v>0</v>
      </c>
      <c r="P22" s="18" t="n">
        <f aca="false">SUM(L22:O22)</f>
        <v>2186.80739995547</v>
      </c>
      <c r="Q22" s="18" t="n">
        <f aca="false">IF(A22=1,Ipotesi!$B$10+Ipotesi!$B$11,0)+Ipotesi!$B$8*Ipotesi!$B$9+Ipotesi!$B$12+Ipotesi!$B$13+Ipotesi!$B$16*52/12*Ipotesi!$B$17</f>
        <v>620</v>
      </c>
      <c r="R22" s="18" t="n">
        <f aca="false">Ipotesi!$B$14*52/12*Ipotesi!$B$15</f>
        <v>1040</v>
      </c>
      <c r="S22" s="18" t="n">
        <f aca="false">J22*IF(A22&lt;=12,Ipotesi!$B$38,Ipotesi!$B$39)*Ipotesi!$B$22</f>
        <v>555.529846364036</v>
      </c>
      <c r="T22" s="18" t="n">
        <f aca="false">P22-Q22-R22-S22</f>
        <v>-28.722446408567</v>
      </c>
      <c r="U22" s="18" t="n">
        <f aca="false">U21+T22</f>
        <v>-14081.6320176178</v>
      </c>
      <c r="V22" s="18" t="n">
        <f aca="false">L22*Ipotesi!$B$20+IF(A22&gt;Ipotesi!$B$21,INDEX($L$5:$L$40,A22-Ipotesi!$B$21)*(1-Ipotesi!$B$20),0)+M22+N22+O22</f>
        <v>1997.48788475248</v>
      </c>
      <c r="W22" s="18" t="n">
        <f aca="false">V22-Q22-S22</f>
        <v>821.958038388445</v>
      </c>
      <c r="X22" s="18" t="n">
        <f aca="false">X21+W22</f>
        <v>-396.832873847765</v>
      </c>
      <c r="Y22" s="45" t="n">
        <f aca="false">IF(U22&gt;=0,A22,999)</f>
        <v>999</v>
      </c>
      <c r="Z22" s="20" t="n">
        <f aca="false">F22*SUMPRODUCT((Social!$C$6:$C$11&lt;=A22)*Social!$B$6:$B$11*Social!$I$6:$I$11)</f>
        <v>1.60996894379985</v>
      </c>
      <c r="AA22" s="20" t="n">
        <f aca="false">Z22*Ipotesi!$B$50</f>
        <v>0.563489130329947</v>
      </c>
      <c r="AB22" s="20" t="n">
        <f aca="false">AA22*Ipotesi!$B$51</f>
        <v>0.309919021681471</v>
      </c>
      <c r="AC22" s="20" t="n">
        <f aca="false">MIN(AB22,MAX(0,I22-J22))</f>
        <v>0.309919021681471</v>
      </c>
      <c r="AD22" s="18" t="n">
        <f aca="false">AC22*Ipotesi!$B$37+(AA22-AC22)*Ipotesi!$B$19</f>
        <v>656.042219986641</v>
      </c>
      <c r="AE22" s="18" t="n">
        <f aca="false">SUMPRODUCT((Social!$C$6:$C$11&lt;=A22)*Social!$J$6:$J$11)</f>
        <v>920</v>
      </c>
      <c r="AF22" s="18" t="n">
        <f aca="false">SUMPRODUCT((Social!$C$6:$C$11&lt;=A22)*Social!$K$6:$K$11)</f>
        <v>433.333333333333</v>
      </c>
      <c r="AG22" s="18" t="n">
        <f aca="false">AC22*IF(A22&lt;=12,Ipotesi!$B$38,Ipotesi!$B$39)*Ipotesi!$B$22</f>
        <v>166.658953909211</v>
      </c>
      <c r="AH22" s="18" t="n">
        <f aca="false">AD22-AE22-AF22-AG22</f>
        <v>-863.950067255903</v>
      </c>
      <c r="AI22" s="18" t="n">
        <f aca="false">AI21+AH22</f>
        <v>-17290.373025077</v>
      </c>
      <c r="AJ22" s="18" t="n">
        <f aca="false">U22+AI22</f>
        <v>-31372.0050426949</v>
      </c>
      <c r="AK22" s="18" t="n">
        <f aca="false">AC22*Ipotesi!$B$37*Ipotesi!$B$20+IF(A22&gt;Ipotesi!$B$21,INDEX($AC$5:$AC$40,A22-Ipotesi!$B$21)*Ipotesi!$B$37*(1-Ipotesi!$B$20),0)+(AA22-AC22)*Ipotesi!$B$19</f>
        <v>599.246365425744</v>
      </c>
      <c r="AL22" s="18" t="n">
        <f aca="false">X22+SUM($AK$5:AK22)-SUM($AE$5:AE22)-SUM($AG$5:AG22)</f>
        <v>-12437.7661557938</v>
      </c>
      <c r="AM22" s="45" t="n">
        <f aca="false">IF(AJ22&gt;=0,A22,999)</f>
        <v>999</v>
      </c>
    </row>
    <row r="23" customFormat="false" ht="15" hidden="false" customHeight="false" outlineLevel="0" collapsed="false">
      <c r="A23" s="25" t="n">
        <v>19</v>
      </c>
      <c r="B23" s="45" t="n">
        <f aca="false">INT((A23-1)/12)+1</f>
        <v>2</v>
      </c>
      <c r="C23" s="45" t="n">
        <f aca="false">MOD(Ipotesi!$B$7-1+A23-1,12)+1</f>
        <v>5</v>
      </c>
      <c r="D23" s="46" t="n">
        <f aca="false">INDEX(Ipotesi!$B$58:$B$69,C23)</f>
        <v>1.1</v>
      </c>
      <c r="E23" s="45" t="n">
        <f aca="false">Ipotesi!$B$47*MIN(1,(A23/Ipotesi!$B$18)^2)*(1+Ipotesi!$B$48)^(MAX(0,A23-12)/12)*D23</f>
        <v>2505.84106321911</v>
      </c>
      <c r="F23" s="20" t="n">
        <f aca="false">E23*Ipotesi!$B$49</f>
        <v>5.01168212643823</v>
      </c>
      <c r="G23" s="20" t="n">
        <f aca="false">F23*Ipotesi!$B$50</f>
        <v>1.75408874425338</v>
      </c>
      <c r="H23" s="20" t="n">
        <f aca="false">G23*Ipotesi!$B$51</f>
        <v>0.964748809339359</v>
      </c>
      <c r="I23" s="20" t="n">
        <f aca="false">IF(A23&lt;=12,Ipotesi!$B$42,Ipotesi!$B$43)</f>
        <v>10.0418410041841</v>
      </c>
      <c r="J23" s="20" t="n">
        <f aca="false">MIN(H23,I23)</f>
        <v>0.964748809339359</v>
      </c>
      <c r="K23" s="20" t="n">
        <f aca="false">H23-J23</f>
        <v>0</v>
      </c>
      <c r="L23" s="18" t="n">
        <f aca="false">J23*Ipotesi!$B$37</f>
        <v>1963.26382700559</v>
      </c>
      <c r="M23" s="18" t="n">
        <f aca="false">(G23-J23)*Ipotesi!$B$19</f>
        <v>78.933993491402</v>
      </c>
      <c r="N23" s="18" t="n">
        <f aca="false">IF(A23&gt;=Ipotesi!$B$26,Ipotesi!$B$52*Ipotesi!$B$25/12,0)</f>
        <v>0</v>
      </c>
      <c r="O23" s="18" t="n">
        <f aca="false">IF(A23&gt;=Ipotesi!$B$27,Ipotesi!$B$53,0)</f>
        <v>0</v>
      </c>
      <c r="P23" s="18" t="n">
        <f aca="false">SUM(L23:O23)</f>
        <v>2042.197820497</v>
      </c>
      <c r="Q23" s="18" t="n">
        <f aca="false">IF(A23=1,Ipotesi!$B$10+Ipotesi!$B$11,0)+Ipotesi!$B$8*Ipotesi!$B$9+Ipotesi!$B$12+Ipotesi!$B$13+Ipotesi!$B$16*52/12*Ipotesi!$B$17</f>
        <v>620</v>
      </c>
      <c r="R23" s="18" t="n">
        <f aca="false">Ipotesi!$B$14*52/12*Ipotesi!$B$15</f>
        <v>1040</v>
      </c>
      <c r="S23" s="18" t="n">
        <f aca="false">J23*IF(A23&lt;=12,Ipotesi!$B$38,Ipotesi!$B$39)*Ipotesi!$B$22</f>
        <v>518.79367222224</v>
      </c>
      <c r="T23" s="18" t="n">
        <f aca="false">P23-Q23-R23-S23</f>
        <v>-136.595851725243</v>
      </c>
      <c r="U23" s="18" t="n">
        <f aca="false">U22+T23</f>
        <v>-14218.2278693431</v>
      </c>
      <c r="V23" s="18" t="n">
        <f aca="false">L23*Ipotesi!$B$20+IF(A23&gt;Ipotesi!$B$21,INDEX($L$5:$L$40,A23-Ipotesi!$B$21)*(1-Ipotesi!$B$20),0)+M23+N23+O23</f>
        <v>1858.74615698527</v>
      </c>
      <c r="W23" s="18" t="n">
        <f aca="false">V23-Q23-S23</f>
        <v>719.952484763032</v>
      </c>
      <c r="X23" s="18" t="n">
        <f aca="false">X22+W23</f>
        <v>323.119610915267</v>
      </c>
      <c r="Y23" s="45" t="n">
        <f aca="false">IF(U23&gt;=0,A23,999)</f>
        <v>999</v>
      </c>
      <c r="Z23" s="20" t="n">
        <f aca="false">F23*SUMPRODUCT((Social!$C$6:$C$11&lt;=A23)*Social!$B$6:$B$11*Social!$I$6:$I$11)</f>
        <v>1.50350463793147</v>
      </c>
      <c r="AA23" s="20" t="n">
        <f aca="false">Z23*Ipotesi!$B$50</f>
        <v>0.526226623276014</v>
      </c>
      <c r="AB23" s="20" t="n">
        <f aca="false">AA23*Ipotesi!$B$51</f>
        <v>0.289424642801808</v>
      </c>
      <c r="AC23" s="20" t="n">
        <f aca="false">MIN(AB23,MAX(0,I23-J23))</f>
        <v>0.289424642801808</v>
      </c>
      <c r="AD23" s="18" t="n">
        <f aca="false">AC23*Ipotesi!$B$37+(AA23-AC23)*Ipotesi!$B$19</f>
        <v>612.659346149099</v>
      </c>
      <c r="AE23" s="18" t="n">
        <f aca="false">SUMPRODUCT((Social!$C$6:$C$11&lt;=A23)*Social!$J$6:$J$11)</f>
        <v>920</v>
      </c>
      <c r="AF23" s="18" t="n">
        <f aca="false">SUMPRODUCT((Social!$C$6:$C$11&lt;=A23)*Social!$K$6:$K$11)</f>
        <v>433.333333333333</v>
      </c>
      <c r="AG23" s="18" t="n">
        <f aca="false">AC23*IF(A23&lt;=12,Ipotesi!$B$38,Ipotesi!$B$39)*Ipotesi!$B$22</f>
        <v>155.638101666672</v>
      </c>
      <c r="AH23" s="18" t="n">
        <f aca="false">AD23-AE23-AF23-AG23</f>
        <v>-896.312088850906</v>
      </c>
      <c r="AI23" s="18" t="n">
        <f aca="false">AI22+AH23</f>
        <v>-18186.6851139279</v>
      </c>
      <c r="AJ23" s="18" t="n">
        <f aca="false">U23+AI23</f>
        <v>-32404.912983271</v>
      </c>
      <c r="AK23" s="18" t="n">
        <f aca="false">AC23*Ipotesi!$B$37*Ipotesi!$B$20+IF(A23&gt;Ipotesi!$B$21,INDEX($AC$5:$AC$40,A23-Ipotesi!$B$21)*Ipotesi!$B$37*(1-Ipotesi!$B$20),0)+(AA23-AC23)*Ipotesi!$B$19</f>
        <v>557.623847095581</v>
      </c>
      <c r="AL23" s="18" t="n">
        <f aca="false">X23+SUM($AK$5:AK23)-SUM($AE$5:AE23)-SUM($AG$5:AG23)</f>
        <v>-12235.8279256018</v>
      </c>
      <c r="AM23" s="45" t="n">
        <f aca="false">IF(AJ23&gt;=0,A23,999)</f>
        <v>999</v>
      </c>
    </row>
    <row r="24" customFormat="false" ht="15" hidden="false" customHeight="false" outlineLevel="0" collapsed="false">
      <c r="A24" s="25" t="n">
        <v>20</v>
      </c>
      <c r="B24" s="45" t="n">
        <f aca="false">INT((A24-1)/12)+1</f>
        <v>2</v>
      </c>
      <c r="C24" s="45" t="n">
        <f aca="false">MOD(Ipotesi!$B$7-1+A24-1,12)+1</f>
        <v>6</v>
      </c>
      <c r="D24" s="46" t="n">
        <f aca="false">INDEX(Ipotesi!$B$58:$B$69,C24)</f>
        <v>1</v>
      </c>
      <c r="E24" s="45" t="n">
        <f aca="false">Ipotesi!$B$47*MIN(1,(A24/Ipotesi!$B$18)^2)*(1+Ipotesi!$B$48)^(MAX(0,A24-12)/12)*D24</f>
        <v>2320.79441680639</v>
      </c>
      <c r="F24" s="20" t="n">
        <f aca="false">E24*Ipotesi!$B$49</f>
        <v>4.64158883361278</v>
      </c>
      <c r="G24" s="20" t="n">
        <f aca="false">F24*Ipotesi!$B$50</f>
        <v>1.62455609176447</v>
      </c>
      <c r="H24" s="20" t="n">
        <f aca="false">G24*Ipotesi!$B$51</f>
        <v>0.89350585047046</v>
      </c>
      <c r="I24" s="20" t="n">
        <f aca="false">IF(A24&lt;=12,Ipotesi!$B$42,Ipotesi!$B$43)</f>
        <v>10.0418410041841</v>
      </c>
      <c r="J24" s="20" t="n">
        <f aca="false">MIN(H24,I24)</f>
        <v>0.89350585047046</v>
      </c>
      <c r="K24" s="20" t="n">
        <f aca="false">H24-J24</f>
        <v>0</v>
      </c>
      <c r="L24" s="18" t="n">
        <f aca="false">J24*Ipotesi!$B$37</f>
        <v>1818.28440570739</v>
      </c>
      <c r="M24" s="18" t="n">
        <f aca="false">(G24-J24)*Ipotesi!$B$19</f>
        <v>73.1050241294013</v>
      </c>
      <c r="N24" s="18" t="n">
        <f aca="false">IF(A24&gt;=Ipotesi!$B$26,Ipotesi!$B$52*Ipotesi!$B$25/12,0)</f>
        <v>0</v>
      </c>
      <c r="O24" s="18" t="n">
        <f aca="false">IF(A24&gt;=Ipotesi!$B$27,Ipotesi!$B$53,0)</f>
        <v>0</v>
      </c>
      <c r="P24" s="18" t="n">
        <f aca="false">SUM(L24:O24)</f>
        <v>1891.38942983679</v>
      </c>
      <c r="Q24" s="18" t="n">
        <f aca="false">IF(A24=1,Ipotesi!$B$10+Ipotesi!$B$11,0)+Ipotesi!$B$8*Ipotesi!$B$9+Ipotesi!$B$12+Ipotesi!$B$13+Ipotesi!$B$16*52/12*Ipotesi!$B$17</f>
        <v>620</v>
      </c>
      <c r="R24" s="18" t="n">
        <f aca="false">Ipotesi!$B$14*52/12*Ipotesi!$B$15</f>
        <v>1040</v>
      </c>
      <c r="S24" s="18" t="n">
        <f aca="false">J24*IF(A24&lt;=12,Ipotesi!$B$38,Ipotesi!$B$39)*Ipotesi!$B$22</f>
        <v>480.48277109049</v>
      </c>
      <c r="T24" s="18" t="n">
        <f aca="false">P24-Q24-R24-S24</f>
        <v>-249.093341253703</v>
      </c>
      <c r="U24" s="18" t="n">
        <f aca="false">U23+T24</f>
        <v>-14467.3212105968</v>
      </c>
      <c r="V24" s="18" t="n">
        <f aca="false">L24*Ipotesi!$B$20+IF(A24&gt;Ipotesi!$B$21,INDEX($L$5:$L$40,A24-Ipotesi!$B$21)*(1-Ipotesi!$B$20),0)+M24+N24+O24</f>
        <v>1632.77643235742</v>
      </c>
      <c r="W24" s="18" t="n">
        <f aca="false">V24-Q24-S24</f>
        <v>532.293661266928</v>
      </c>
      <c r="X24" s="18" t="n">
        <f aca="false">X23+W24</f>
        <v>855.413272182195</v>
      </c>
      <c r="Y24" s="45" t="n">
        <f aca="false">IF(U24&gt;=0,A24,999)</f>
        <v>999</v>
      </c>
      <c r="Z24" s="20" t="n">
        <f aca="false">F24*SUMPRODUCT((Social!$C$6:$C$11&lt;=A24)*Social!$B$6:$B$11*Social!$I$6:$I$11)</f>
        <v>1.39247665008383</v>
      </c>
      <c r="AA24" s="20" t="n">
        <f aca="false">Z24*Ipotesi!$B$50</f>
        <v>0.487366827529342</v>
      </c>
      <c r="AB24" s="20" t="n">
        <f aca="false">AA24*Ipotesi!$B$51</f>
        <v>0.268051755141138</v>
      </c>
      <c r="AC24" s="20" t="n">
        <f aca="false">MIN(AB24,MAX(0,I24-J24))</f>
        <v>0.268051755141138</v>
      </c>
      <c r="AD24" s="18" t="n">
        <f aca="false">AC24*Ipotesi!$B$37+(AA24-AC24)*Ipotesi!$B$19</f>
        <v>567.416828951036</v>
      </c>
      <c r="AE24" s="18" t="n">
        <f aca="false">SUMPRODUCT((Social!$C$6:$C$11&lt;=A24)*Social!$J$6:$J$11)</f>
        <v>920</v>
      </c>
      <c r="AF24" s="18" t="n">
        <f aca="false">SUMPRODUCT((Social!$C$6:$C$11&lt;=A24)*Social!$K$6:$K$11)</f>
        <v>433.333333333333</v>
      </c>
      <c r="AG24" s="18" t="n">
        <f aca="false">AC24*IF(A24&lt;=12,Ipotesi!$B$38,Ipotesi!$B$39)*Ipotesi!$B$22</f>
        <v>144.144831327147</v>
      </c>
      <c r="AH24" s="18" t="n">
        <f aca="false">AD24-AE24-AF24-AG24</f>
        <v>-930.061335709444</v>
      </c>
      <c r="AI24" s="18" t="n">
        <f aca="false">AI23+AH24</f>
        <v>-19116.7464496374</v>
      </c>
      <c r="AJ24" s="18" t="n">
        <f aca="false">U24+AI24</f>
        <v>-33584.0676602342</v>
      </c>
      <c r="AK24" s="18" t="n">
        <f aca="false">AC24*Ipotesi!$B$37*Ipotesi!$B$20+IF(A24&gt;Ipotesi!$B$21,INDEX($AC$5:$AC$40,A24-Ipotesi!$B$21)*Ipotesi!$B$37*(1-Ipotesi!$B$20),0)+(AA24-AC24)*Ipotesi!$B$19</f>
        <v>489.832929707225</v>
      </c>
      <c r="AL24" s="18" t="n">
        <f aca="false">X24+SUM($AK$5:AK24)-SUM($AE$5:AE24)-SUM($AG$5:AG24)</f>
        <v>-12277.8461659548</v>
      </c>
      <c r="AM24" s="45" t="n">
        <f aca="false">IF(AJ24&gt;=0,A24,999)</f>
        <v>999</v>
      </c>
    </row>
    <row r="25" customFormat="false" ht="15" hidden="false" customHeight="false" outlineLevel="0" collapsed="false">
      <c r="A25" s="25" t="n">
        <v>21</v>
      </c>
      <c r="B25" s="45" t="n">
        <f aca="false">INT((A25-1)/12)+1</f>
        <v>2</v>
      </c>
      <c r="C25" s="45" t="n">
        <f aca="false">MOD(Ipotesi!$B$7-1+A25-1,12)+1</f>
        <v>7</v>
      </c>
      <c r="D25" s="46" t="n">
        <f aca="false">INDEX(Ipotesi!$B$58:$B$69,C25)</f>
        <v>1</v>
      </c>
      <c r="E25" s="45" t="n">
        <f aca="false">Ipotesi!$B$47*MIN(1,(A25/Ipotesi!$B$18)^2)*(1+Ipotesi!$B$48)^(MAX(0,A25-12)/12)*D25</f>
        <v>2364.35402250794</v>
      </c>
      <c r="F25" s="20" t="n">
        <f aca="false">E25*Ipotesi!$B$49</f>
        <v>4.72870804501588</v>
      </c>
      <c r="G25" s="20" t="n">
        <f aca="false">F25*Ipotesi!$B$50</f>
        <v>1.65504781575556</v>
      </c>
      <c r="H25" s="20" t="n">
        <f aca="false">G25*Ipotesi!$B$51</f>
        <v>0.910276298665557</v>
      </c>
      <c r="I25" s="20" t="n">
        <f aca="false">IF(A25&lt;=12,Ipotesi!$B$42,Ipotesi!$B$43)</f>
        <v>10.0418410041841</v>
      </c>
      <c r="J25" s="20" t="n">
        <f aca="false">MIN(H25,I25)</f>
        <v>0.910276298665557</v>
      </c>
      <c r="K25" s="20" t="n">
        <f aca="false">H25-J25</f>
        <v>0</v>
      </c>
      <c r="L25" s="18" t="n">
        <f aca="false">J25*Ipotesi!$B$37</f>
        <v>1852.41226778441</v>
      </c>
      <c r="M25" s="18" t="n">
        <f aca="false">(G25-J25)*Ipotesi!$B$19</f>
        <v>74.4771517090001</v>
      </c>
      <c r="N25" s="18" t="n">
        <f aca="false">IF(A25&gt;=Ipotesi!$B$26,Ipotesi!$B$52*Ipotesi!$B$25/12,0)</f>
        <v>0</v>
      </c>
      <c r="O25" s="18" t="n">
        <f aca="false">IF(A25&gt;=Ipotesi!$B$27,Ipotesi!$B$53,0)</f>
        <v>0</v>
      </c>
      <c r="P25" s="18" t="n">
        <f aca="false">SUM(L25:O25)</f>
        <v>1926.88941949341</v>
      </c>
      <c r="Q25" s="18" t="n">
        <f aca="false">IF(A25=1,Ipotesi!$B$10+Ipotesi!$B$11,0)+Ipotesi!$B$8*Ipotesi!$B$9+Ipotesi!$B$12+Ipotesi!$B$13+Ipotesi!$B$16*52/12*Ipotesi!$B$17</f>
        <v>620</v>
      </c>
      <c r="R25" s="18" t="n">
        <f aca="false">Ipotesi!$B$14*52/12*Ipotesi!$B$15</f>
        <v>1040</v>
      </c>
      <c r="S25" s="18" t="n">
        <f aca="false">J25*IF(A25&lt;=12,Ipotesi!$B$38,Ipotesi!$B$39)*Ipotesi!$B$22</f>
        <v>489.501079607403</v>
      </c>
      <c r="T25" s="18" t="n">
        <f aca="false">P25-Q25-R25-S25</f>
        <v>-222.611660113995</v>
      </c>
      <c r="U25" s="18" t="n">
        <f aca="false">U24+T25</f>
        <v>-14689.9328707108</v>
      </c>
      <c r="V25" s="18" t="n">
        <f aca="false">L25*Ipotesi!$B$20+IF(A25&gt;Ipotesi!$B$21,INDEX($L$5:$L$40,A25-Ipotesi!$B$21)*(1-Ipotesi!$B$20),0)+M25+N25+O25</f>
        <v>1746.26484116289</v>
      </c>
      <c r="W25" s="18" t="n">
        <f aca="false">V25-Q25-S25</f>
        <v>636.763761555487</v>
      </c>
      <c r="X25" s="18" t="n">
        <f aca="false">X24+W25</f>
        <v>1492.17703373768</v>
      </c>
      <c r="Y25" s="45" t="n">
        <f aca="false">IF(U25&gt;=0,A25,999)</f>
        <v>999</v>
      </c>
      <c r="Z25" s="20" t="n">
        <f aca="false">F25*SUMPRODUCT((Social!$C$6:$C$11&lt;=A25)*Social!$B$6:$B$11*Social!$I$6:$I$11)</f>
        <v>1.41861241350476</v>
      </c>
      <c r="AA25" s="20" t="n">
        <f aca="false">Z25*Ipotesi!$B$50</f>
        <v>0.496514344726667</v>
      </c>
      <c r="AB25" s="20" t="n">
        <f aca="false">AA25*Ipotesi!$B$51</f>
        <v>0.273082889599667</v>
      </c>
      <c r="AC25" s="20" t="n">
        <f aca="false">MIN(AB25,MAX(0,I25-J25))</f>
        <v>0.273082889599667</v>
      </c>
      <c r="AD25" s="18" t="n">
        <f aca="false">AC25*Ipotesi!$B$37+(AA25-AC25)*Ipotesi!$B$19</f>
        <v>578.066825848023</v>
      </c>
      <c r="AE25" s="18" t="n">
        <f aca="false">SUMPRODUCT((Social!$C$6:$C$11&lt;=A25)*Social!$J$6:$J$11)</f>
        <v>920</v>
      </c>
      <c r="AF25" s="18" t="n">
        <f aca="false">SUMPRODUCT((Social!$C$6:$C$11&lt;=A25)*Social!$K$6:$K$11)</f>
        <v>433.333333333333</v>
      </c>
      <c r="AG25" s="18" t="n">
        <f aca="false">AC25*IF(A25&lt;=12,Ipotesi!$B$38,Ipotesi!$B$39)*Ipotesi!$B$22</f>
        <v>146.850323882221</v>
      </c>
      <c r="AH25" s="18" t="n">
        <f aca="false">AD25-AE25-AF25-AG25</f>
        <v>-922.116831367532</v>
      </c>
      <c r="AI25" s="18" t="n">
        <f aca="false">AI24+AH25</f>
        <v>-20038.8632810049</v>
      </c>
      <c r="AJ25" s="18" t="n">
        <f aca="false">U25+AI25</f>
        <v>-34728.7961517157</v>
      </c>
      <c r="AK25" s="18" t="n">
        <f aca="false">AC25*Ipotesi!$B$37*Ipotesi!$B$20+IF(A25&gt;Ipotesi!$B$21,INDEX($AC$5:$AC$40,A25-Ipotesi!$B$21)*Ipotesi!$B$37*(1-Ipotesi!$B$20),0)+(AA25-AC25)*Ipotesi!$B$19</f>
        <v>523.879452348867</v>
      </c>
      <c r="AL25" s="18" t="n">
        <f aca="false">X25+SUM($AK$5:AK25)-SUM($AE$5:AE25)-SUM($AG$5:AG25)</f>
        <v>-12184.0532759327</v>
      </c>
      <c r="AM25" s="45" t="n">
        <f aca="false">IF(AJ25&gt;=0,A25,999)</f>
        <v>999</v>
      </c>
    </row>
    <row r="26" customFormat="false" ht="15" hidden="false" customHeight="false" outlineLevel="0" collapsed="false">
      <c r="A26" s="25" t="n">
        <v>22</v>
      </c>
      <c r="B26" s="45" t="n">
        <f aca="false">INT((A26-1)/12)+1</f>
        <v>2</v>
      </c>
      <c r="C26" s="45" t="n">
        <f aca="false">MOD(Ipotesi!$B$7-1+A26-1,12)+1</f>
        <v>8</v>
      </c>
      <c r="D26" s="46" t="n">
        <f aca="false">INDEX(Ipotesi!$B$58:$B$69,C26)</f>
        <v>0.7</v>
      </c>
      <c r="E26" s="45" t="n">
        <f aca="false">Ipotesi!$B$47*MIN(1,(A26/Ipotesi!$B$18)^2)*(1+Ipotesi!$B$48)^(MAX(0,A26-12)/12)*D26</f>
        <v>1686.11184699824</v>
      </c>
      <c r="F26" s="20" t="n">
        <f aca="false">E26*Ipotesi!$B$49</f>
        <v>3.37222369399649</v>
      </c>
      <c r="G26" s="20" t="n">
        <f aca="false">F26*Ipotesi!$B$50</f>
        <v>1.18027829289877</v>
      </c>
      <c r="H26" s="20" t="n">
        <f aca="false">G26*Ipotesi!$B$51</f>
        <v>0.649153061094324</v>
      </c>
      <c r="I26" s="20" t="n">
        <f aca="false">IF(A26&lt;=12,Ipotesi!$B$42,Ipotesi!$B$43)</f>
        <v>10.0418410041841</v>
      </c>
      <c r="J26" s="20" t="n">
        <f aca="false">MIN(H26,I26)</f>
        <v>0.649153061094324</v>
      </c>
      <c r="K26" s="20" t="n">
        <f aca="false">H26-J26</f>
        <v>0</v>
      </c>
      <c r="L26" s="18" t="n">
        <f aca="false">J26*Ipotesi!$B$37</f>
        <v>1321.02647932695</v>
      </c>
      <c r="M26" s="18" t="n">
        <f aca="false">(G26-J26)*Ipotesi!$B$19</f>
        <v>53.1125231804447</v>
      </c>
      <c r="N26" s="18" t="n">
        <f aca="false">IF(A26&gt;=Ipotesi!$B$26,Ipotesi!$B$52*Ipotesi!$B$25/12,0)</f>
        <v>0</v>
      </c>
      <c r="O26" s="18" t="n">
        <f aca="false">IF(A26&gt;=Ipotesi!$B$27,Ipotesi!$B$53,0)</f>
        <v>0</v>
      </c>
      <c r="P26" s="18" t="n">
        <f aca="false">SUM(L26:O26)</f>
        <v>1374.13900250739</v>
      </c>
      <c r="Q26" s="18" t="n">
        <f aca="false">IF(A26=1,Ipotesi!$B$10+Ipotesi!$B$11,0)+Ipotesi!$B$8*Ipotesi!$B$9+Ipotesi!$B$12+Ipotesi!$B$13+Ipotesi!$B$16*52/12*Ipotesi!$B$17</f>
        <v>620</v>
      </c>
      <c r="R26" s="18" t="n">
        <f aca="false">Ipotesi!$B$14*52/12*Ipotesi!$B$15</f>
        <v>1040</v>
      </c>
      <c r="S26" s="18" t="n">
        <f aca="false">J26*IF(A26&lt;=12,Ipotesi!$B$38,Ipotesi!$B$39)*Ipotesi!$B$22</f>
        <v>349.082058603473</v>
      </c>
      <c r="T26" s="18" t="n">
        <f aca="false">P26-Q26-R26-S26</f>
        <v>-634.943056096079</v>
      </c>
      <c r="U26" s="18" t="n">
        <f aca="false">U25+T26</f>
        <v>-15324.8759268069</v>
      </c>
      <c r="V26" s="18" t="n">
        <f aca="false">L26*Ipotesi!$B$20+IF(A26&gt;Ipotesi!$B$21,INDEX($L$5:$L$40,A26-Ipotesi!$B$21)*(1-Ipotesi!$B$20),0)+M26+N26+O26</f>
        <v>1557.59862223028</v>
      </c>
      <c r="W26" s="18" t="n">
        <f aca="false">V26-Q26-S26</f>
        <v>588.516563626812</v>
      </c>
      <c r="X26" s="18" t="n">
        <f aca="false">X25+W26</f>
        <v>2080.69359736449</v>
      </c>
      <c r="Y26" s="45" t="n">
        <f aca="false">IF(U26&gt;=0,A26,999)</f>
        <v>999</v>
      </c>
      <c r="Z26" s="20" t="n">
        <f aca="false">F26*SUMPRODUCT((Social!$C$6:$C$11&lt;=A26)*Social!$B$6:$B$11*Social!$I$6:$I$11)</f>
        <v>1.01166710819895</v>
      </c>
      <c r="AA26" s="20" t="n">
        <f aca="false">Z26*Ipotesi!$B$50</f>
        <v>0.354083487869631</v>
      </c>
      <c r="AB26" s="20" t="n">
        <f aca="false">AA26*Ipotesi!$B$51</f>
        <v>0.194745918328297</v>
      </c>
      <c r="AC26" s="20" t="n">
        <f aca="false">MIN(AB26,MAX(0,I26-J26))</f>
        <v>0.194745918328297</v>
      </c>
      <c r="AD26" s="18" t="n">
        <f aca="false">AC26*Ipotesi!$B$37+(AA26-AC26)*Ipotesi!$B$19</f>
        <v>412.241700752218</v>
      </c>
      <c r="AE26" s="18" t="n">
        <f aca="false">SUMPRODUCT((Social!$C$6:$C$11&lt;=A26)*Social!$J$6:$J$11)</f>
        <v>920</v>
      </c>
      <c r="AF26" s="18" t="n">
        <f aca="false">SUMPRODUCT((Social!$C$6:$C$11&lt;=A26)*Social!$K$6:$K$11)</f>
        <v>433.333333333333</v>
      </c>
      <c r="AG26" s="18" t="n">
        <f aca="false">AC26*IF(A26&lt;=12,Ipotesi!$B$38,Ipotesi!$B$39)*Ipotesi!$B$22</f>
        <v>104.724617581042</v>
      </c>
      <c r="AH26" s="18" t="n">
        <f aca="false">AD26-AE26-AF26-AG26</f>
        <v>-1045.81625016216</v>
      </c>
      <c r="AI26" s="18" t="n">
        <f aca="false">AI25+AH26</f>
        <v>-21084.6795311671</v>
      </c>
      <c r="AJ26" s="18" t="n">
        <f aca="false">U26+AI26</f>
        <v>-36409.5554579739</v>
      </c>
      <c r="AK26" s="18" t="n">
        <f aca="false">AC26*Ipotesi!$B$37*Ipotesi!$B$20+IF(A26&gt;Ipotesi!$B$21,INDEX($AC$5:$AC$40,A26-Ipotesi!$B$21)*Ipotesi!$B$37*(1-Ipotesi!$B$20),0)+(AA26-AC26)*Ipotesi!$B$19</f>
        <v>467.279586669085</v>
      </c>
      <c r="AL26" s="18" t="n">
        <f aca="false">X26+SUM($AK$5:AK26)-SUM($AE$5:AE26)-SUM($AG$5:AG26)</f>
        <v>-12152.9817432178</v>
      </c>
      <c r="AM26" s="45" t="n">
        <f aca="false">IF(AJ26&gt;=0,A26,999)</f>
        <v>999</v>
      </c>
    </row>
    <row r="27" customFormat="false" ht="15" hidden="false" customHeight="false" outlineLevel="0" collapsed="false">
      <c r="A27" s="25" t="n">
        <v>23</v>
      </c>
      <c r="B27" s="45" t="n">
        <f aca="false">INT((A27-1)/12)+1</f>
        <v>2</v>
      </c>
      <c r="C27" s="45" t="n">
        <f aca="false">MOD(Ipotesi!$B$7-1+A27-1,12)+1</f>
        <v>9</v>
      </c>
      <c r="D27" s="46" t="n">
        <f aca="false">INDEX(Ipotesi!$B$58:$B$69,C27)</f>
        <v>1.1</v>
      </c>
      <c r="E27" s="45" t="n">
        <f aca="false">Ipotesi!$B$47*MIN(1,(A27/Ipotesi!$B$18)^2)*(1+Ipotesi!$B$48)^(MAX(0,A27-12)/12)*D27</f>
        <v>2699.33545715282</v>
      </c>
      <c r="F27" s="20" t="n">
        <f aca="false">E27*Ipotesi!$B$49</f>
        <v>5.39867091430564</v>
      </c>
      <c r="G27" s="20" t="n">
        <f aca="false">F27*Ipotesi!$B$50</f>
        <v>1.88953482000697</v>
      </c>
      <c r="H27" s="20" t="n">
        <f aca="false">G27*Ipotesi!$B$51</f>
        <v>1.03924415100383</v>
      </c>
      <c r="I27" s="20" t="n">
        <f aca="false">IF(A27&lt;=12,Ipotesi!$B$42,Ipotesi!$B$43)</f>
        <v>10.0418410041841</v>
      </c>
      <c r="J27" s="20" t="n">
        <f aca="false">MIN(H27,I27)</f>
        <v>1.03924415100383</v>
      </c>
      <c r="K27" s="20" t="n">
        <f aca="false">H27-J27</f>
        <v>0</v>
      </c>
      <c r="L27" s="18" t="n">
        <f aca="false">J27*Ipotesi!$B$37</f>
        <v>2114.8618472928</v>
      </c>
      <c r="M27" s="18" t="n">
        <f aca="false">(G27-J27)*Ipotesi!$B$19</f>
        <v>85.0290669003137</v>
      </c>
      <c r="N27" s="18" t="n">
        <f aca="false">IF(A27&gt;=Ipotesi!$B$26,Ipotesi!$B$52*Ipotesi!$B$25/12,0)</f>
        <v>0</v>
      </c>
      <c r="O27" s="18" t="n">
        <f aca="false">IF(A27&gt;=Ipotesi!$B$27,Ipotesi!$B$53,0)</f>
        <v>0</v>
      </c>
      <c r="P27" s="18" t="n">
        <f aca="false">SUM(L27:O27)</f>
        <v>2199.89091419312</v>
      </c>
      <c r="Q27" s="18" t="n">
        <f aca="false">IF(A27=1,Ipotesi!$B$10+Ipotesi!$B$11,0)+Ipotesi!$B$8*Ipotesi!$B$9+Ipotesi!$B$12+Ipotesi!$B$13+Ipotesi!$B$16*52/12*Ipotesi!$B$17</f>
        <v>620</v>
      </c>
      <c r="R27" s="18" t="n">
        <f aca="false">Ipotesi!$B$14*52/12*Ipotesi!$B$15</f>
        <v>1040</v>
      </c>
      <c r="S27" s="18" t="n">
        <f aca="false">J27*IF(A27&lt;=12,Ipotesi!$B$38,Ipotesi!$B$39)*Ipotesi!$B$22</f>
        <v>558.853542202312</v>
      </c>
      <c r="T27" s="18" t="n">
        <f aca="false">P27-Q27-R27-S27</f>
        <v>-18.9626280091945</v>
      </c>
      <c r="U27" s="18" t="n">
        <f aca="false">U26+T27</f>
        <v>-15343.8385548161</v>
      </c>
      <c r="V27" s="18" t="n">
        <f aca="false">L27*Ipotesi!$B$20+IF(A27&gt;Ipotesi!$B$21,INDEX($L$5:$L$40,A27-Ipotesi!$B$21)*(1-Ipotesi!$B$20),0)+M27+N27+O27</f>
        <v>2088.25496126021</v>
      </c>
      <c r="W27" s="18" t="n">
        <f aca="false">V27-Q27-S27</f>
        <v>909.401419057901</v>
      </c>
      <c r="X27" s="18" t="n">
        <f aca="false">X26+W27</f>
        <v>2990.0950164224</v>
      </c>
      <c r="Y27" s="45" t="n">
        <f aca="false">IF(U27&gt;=0,A27,999)</f>
        <v>999</v>
      </c>
      <c r="Z27" s="20" t="n">
        <f aca="false">F27*SUMPRODUCT((Social!$C$6:$C$11&lt;=A27)*Social!$B$6:$B$11*Social!$I$6:$I$11)</f>
        <v>1.61960127429169</v>
      </c>
      <c r="AA27" s="20" t="n">
        <f aca="false">Z27*Ipotesi!$B$50</f>
        <v>0.566860446002092</v>
      </c>
      <c r="AB27" s="20" t="n">
        <f aca="false">AA27*Ipotesi!$B$51</f>
        <v>0.31177324530115</v>
      </c>
      <c r="AC27" s="20" t="n">
        <f aca="false">MIN(AB27,MAX(0,I27-J27))</f>
        <v>0.31177324530115</v>
      </c>
      <c r="AD27" s="18" t="n">
        <f aca="false">AC27*Ipotesi!$B$37+(AA27-AC27)*Ipotesi!$B$19</f>
        <v>659.967274257935</v>
      </c>
      <c r="AE27" s="18" t="n">
        <f aca="false">SUMPRODUCT((Social!$C$6:$C$11&lt;=A27)*Social!$J$6:$J$11)</f>
        <v>920</v>
      </c>
      <c r="AF27" s="18" t="n">
        <f aca="false">SUMPRODUCT((Social!$C$6:$C$11&lt;=A27)*Social!$K$6:$K$11)</f>
        <v>433.333333333333</v>
      </c>
      <c r="AG27" s="18" t="n">
        <f aca="false">AC27*IF(A27&lt;=12,Ipotesi!$B$38,Ipotesi!$B$39)*Ipotesi!$B$22</f>
        <v>167.656062660694</v>
      </c>
      <c r="AH27" s="18" t="n">
        <f aca="false">AD27-AE27-AF27-AG27</f>
        <v>-861.022121736092</v>
      </c>
      <c r="AI27" s="18" t="n">
        <f aca="false">AI26+AH27</f>
        <v>-21945.7016529032</v>
      </c>
      <c r="AJ27" s="18" t="n">
        <f aca="false">U27+AI27</f>
        <v>-37289.5402077192</v>
      </c>
      <c r="AK27" s="18" t="n">
        <f aca="false">AC27*Ipotesi!$B$37*Ipotesi!$B$20+IF(A27&gt;Ipotesi!$B$21,INDEX($AC$5:$AC$40,A27-Ipotesi!$B$21)*Ipotesi!$B$37*(1-Ipotesi!$B$20),0)+(AA27-AC27)*Ipotesi!$B$19</f>
        <v>626.476488378064</v>
      </c>
      <c r="AL27" s="18" t="n">
        <f aca="false">X27+SUM($AK$5:AK27)-SUM($AE$5:AE27)-SUM($AG$5:AG27)</f>
        <v>-11704.7598984426</v>
      </c>
      <c r="AM27" s="45" t="n">
        <f aca="false">IF(AJ27&gt;=0,A27,999)</f>
        <v>999</v>
      </c>
    </row>
    <row r="28" customFormat="false" ht="15" hidden="false" customHeight="false" outlineLevel="0" collapsed="false">
      <c r="A28" s="25" t="n">
        <v>24</v>
      </c>
      <c r="B28" s="45" t="n">
        <f aca="false">INT((A28-1)/12)+1</f>
        <v>2</v>
      </c>
      <c r="C28" s="45" t="n">
        <f aca="false">MOD(Ipotesi!$B$7-1+A28-1,12)+1</f>
        <v>10</v>
      </c>
      <c r="D28" s="46" t="n">
        <f aca="false">INDEX(Ipotesi!$B$58:$B$69,C28)</f>
        <v>1.1</v>
      </c>
      <c r="E28" s="45" t="n">
        <f aca="false">Ipotesi!$B$47*MIN(1,(A28/Ipotesi!$B$18)^2)*(1+Ipotesi!$B$48)^(MAX(0,A28-12)/12)*D28</f>
        <v>2750</v>
      </c>
      <c r="F28" s="20" t="n">
        <f aca="false">E28*Ipotesi!$B$49</f>
        <v>5.5</v>
      </c>
      <c r="G28" s="20" t="n">
        <f aca="false">F28*Ipotesi!$B$50</f>
        <v>1.925</v>
      </c>
      <c r="H28" s="20" t="n">
        <f aca="false">G28*Ipotesi!$B$51</f>
        <v>1.05875</v>
      </c>
      <c r="I28" s="20" t="n">
        <f aca="false">IF(A28&lt;=12,Ipotesi!$B$42,Ipotesi!$B$43)</f>
        <v>10.0418410041841</v>
      </c>
      <c r="J28" s="20" t="n">
        <f aca="false">MIN(H28,I28)</f>
        <v>1.05875</v>
      </c>
      <c r="K28" s="20" t="n">
        <f aca="false">H28-J28</f>
        <v>0</v>
      </c>
      <c r="L28" s="18" t="n">
        <f aca="false">J28*Ipotesi!$B$37</f>
        <v>2154.55625</v>
      </c>
      <c r="M28" s="18" t="n">
        <f aca="false">(G28-J28)*Ipotesi!$B$19</f>
        <v>86.625</v>
      </c>
      <c r="N28" s="18" t="n">
        <f aca="false">IF(A28&gt;=Ipotesi!$B$26,Ipotesi!$B$52*Ipotesi!$B$25/12,0)</f>
        <v>0</v>
      </c>
      <c r="O28" s="18" t="n">
        <f aca="false">IF(A28&gt;=Ipotesi!$B$27,Ipotesi!$B$53,0)</f>
        <v>0</v>
      </c>
      <c r="P28" s="18" t="n">
        <f aca="false">SUM(L28:O28)</f>
        <v>2241.18125</v>
      </c>
      <c r="Q28" s="18" t="n">
        <f aca="false">IF(A28=1,Ipotesi!$B$10+Ipotesi!$B$11,0)+Ipotesi!$B$8*Ipotesi!$B$9+Ipotesi!$B$12+Ipotesi!$B$13+Ipotesi!$B$16*52/12*Ipotesi!$B$17</f>
        <v>620</v>
      </c>
      <c r="R28" s="18" t="n">
        <f aca="false">Ipotesi!$B$14*52/12*Ipotesi!$B$15</f>
        <v>1040</v>
      </c>
      <c r="S28" s="18" t="n">
        <f aca="false">J28*IF(A28&lt;=12,Ipotesi!$B$38,Ipotesi!$B$39)*Ipotesi!$B$22</f>
        <v>569.3428125</v>
      </c>
      <c r="T28" s="18" t="n">
        <f aca="false">P28-Q28-R28-S28</f>
        <v>11.8384375000001</v>
      </c>
      <c r="U28" s="18" t="n">
        <f aca="false">U27+T28</f>
        <v>-15332.0001173161</v>
      </c>
      <c r="V28" s="18" t="n">
        <f aca="false">L28*Ipotesi!$B$20+IF(A28&gt;Ipotesi!$B$21,INDEX($L$5:$L$40,A28-Ipotesi!$B$21)*(1-Ipotesi!$B$20),0)+M28+N28+O28</f>
        <v>2215.04514020299</v>
      </c>
      <c r="W28" s="18" t="n">
        <f aca="false">V28-Q28-S28</f>
        <v>1025.70232770299</v>
      </c>
      <c r="X28" s="18" t="n">
        <f aca="false">X27+W28</f>
        <v>4015.79734412538</v>
      </c>
      <c r="Y28" s="45" t="n">
        <f aca="false">IF(U28&gt;=0,A28,999)</f>
        <v>999</v>
      </c>
      <c r="Z28" s="20" t="n">
        <f aca="false">F28*SUMPRODUCT((Social!$C$6:$C$11&lt;=A28)*Social!$B$6:$B$11*Social!$I$6:$I$11)</f>
        <v>1.65</v>
      </c>
      <c r="AA28" s="20" t="n">
        <f aca="false">Z28*Ipotesi!$B$50</f>
        <v>0.5775</v>
      </c>
      <c r="AB28" s="20" t="n">
        <f aca="false">AA28*Ipotesi!$B$51</f>
        <v>0.317625</v>
      </c>
      <c r="AC28" s="20" t="n">
        <f aca="false">MIN(AB28,MAX(0,I28-J28))</f>
        <v>0.317625</v>
      </c>
      <c r="AD28" s="18" t="n">
        <f aca="false">AC28*Ipotesi!$B$37+(AA28-AC28)*Ipotesi!$B$19</f>
        <v>672.354375</v>
      </c>
      <c r="AE28" s="18" t="n">
        <f aca="false">SUMPRODUCT((Social!$C$6:$C$11&lt;=A28)*Social!$J$6:$J$11)</f>
        <v>920</v>
      </c>
      <c r="AF28" s="18" t="n">
        <f aca="false">SUMPRODUCT((Social!$C$6:$C$11&lt;=A28)*Social!$K$6:$K$11)</f>
        <v>433.333333333333</v>
      </c>
      <c r="AG28" s="18" t="n">
        <f aca="false">AC28*IF(A28&lt;=12,Ipotesi!$B$38,Ipotesi!$B$39)*Ipotesi!$B$22</f>
        <v>170.80284375</v>
      </c>
      <c r="AH28" s="18" t="n">
        <f aca="false">AD28-AE28-AF28-AG28</f>
        <v>-851.781802083333</v>
      </c>
      <c r="AI28" s="18" t="n">
        <f aca="false">AI27+AH28</f>
        <v>-22797.4834549865</v>
      </c>
      <c r="AJ28" s="18" t="n">
        <f aca="false">U28+AI28</f>
        <v>-38129.4835723025</v>
      </c>
      <c r="AK28" s="18" t="n">
        <f aca="false">AC28*Ipotesi!$B$37*Ipotesi!$B$20+IF(A28&gt;Ipotesi!$B$21,INDEX($AC$5:$AC$40,A28-Ipotesi!$B$21)*Ipotesi!$B$37*(1-Ipotesi!$B$20),0)+(AA28-AC28)*Ipotesi!$B$19</f>
        <v>664.513542060897</v>
      </c>
      <c r="AL28" s="18" t="n">
        <f aca="false">X28+SUM($AK$5:AK28)-SUM($AE$5:AE28)-SUM($AG$5:AG28)</f>
        <v>-11105.3468724287</v>
      </c>
      <c r="AM28" s="45" t="n">
        <f aca="false">IF(AJ28&gt;=0,A28,999)</f>
        <v>999</v>
      </c>
    </row>
    <row r="29" customFormat="false" ht="15" hidden="false" customHeight="false" outlineLevel="0" collapsed="false">
      <c r="A29" s="25" t="n">
        <v>25</v>
      </c>
      <c r="B29" s="45" t="n">
        <f aca="false">INT((A29-1)/12)+1</f>
        <v>3</v>
      </c>
      <c r="C29" s="45" t="n">
        <f aca="false">MOD(Ipotesi!$B$7-1+A29-1,12)+1</f>
        <v>11</v>
      </c>
      <c r="D29" s="46" t="n">
        <f aca="false">INDEX(Ipotesi!$B$58:$B$69,C29)</f>
        <v>1</v>
      </c>
      <c r="E29" s="45" t="n">
        <f aca="false">Ipotesi!$B$47*MIN(1,(A29/Ipotesi!$B$18)^2)*(1+Ipotesi!$B$48)^(MAX(0,A29-12)/12)*D29</f>
        <v>2546.92316280377</v>
      </c>
      <c r="F29" s="20" t="n">
        <f aca="false">E29*Ipotesi!$B$49</f>
        <v>5.09384632560753</v>
      </c>
      <c r="G29" s="20" t="n">
        <f aca="false">F29*Ipotesi!$B$50</f>
        <v>1.78284621396264</v>
      </c>
      <c r="H29" s="20" t="n">
        <f aca="false">G29*Ipotesi!$B$51</f>
        <v>0.98056541767945</v>
      </c>
      <c r="I29" s="20" t="n">
        <f aca="false">IF(A29&lt;=12,Ipotesi!$B$42,Ipotesi!$B$43)</f>
        <v>10.0418410041841</v>
      </c>
      <c r="J29" s="20" t="n">
        <f aca="false">MIN(H29,I29)</f>
        <v>0.98056541767945</v>
      </c>
      <c r="K29" s="20" t="n">
        <f aca="false">H29-J29</f>
        <v>0</v>
      </c>
      <c r="L29" s="18" t="n">
        <f aca="false">J29*Ipotesi!$B$37</f>
        <v>1995.45062497768</v>
      </c>
      <c r="M29" s="18" t="n">
        <f aca="false">(G29-J29)*Ipotesi!$B$19</f>
        <v>80.2280796283186</v>
      </c>
      <c r="N29" s="18" t="n">
        <f aca="false">IF(A29&gt;=Ipotesi!$B$26,Ipotesi!$B$52*Ipotesi!$B$25/12,0)</f>
        <v>0</v>
      </c>
      <c r="O29" s="18" t="n">
        <f aca="false">IF(A29&gt;=Ipotesi!$B$27,Ipotesi!$B$53,0)</f>
        <v>0</v>
      </c>
      <c r="P29" s="18" t="n">
        <f aca="false">SUM(L29:O29)</f>
        <v>2075.678704606</v>
      </c>
      <c r="Q29" s="18" t="n">
        <f aca="false">IF(A29=1,Ipotesi!$B$10+Ipotesi!$B$11,0)+Ipotesi!$B$8*Ipotesi!$B$9+Ipotesi!$B$12+Ipotesi!$B$13+Ipotesi!$B$16*52/12*Ipotesi!$B$17</f>
        <v>620</v>
      </c>
      <c r="R29" s="18" t="n">
        <f aca="false">Ipotesi!$B$14*52/12*Ipotesi!$B$15</f>
        <v>1040</v>
      </c>
      <c r="S29" s="18" t="n">
        <f aca="false">J29*IF(A29&lt;=12,Ipotesi!$B$38,Ipotesi!$B$39)*Ipotesi!$B$22</f>
        <v>527.299053357124</v>
      </c>
      <c r="T29" s="18" t="n">
        <f aca="false">P29-Q29-R29-S29</f>
        <v>-111.620348751125</v>
      </c>
      <c r="U29" s="18" t="n">
        <f aca="false">U28+T29</f>
        <v>-15443.6204660672</v>
      </c>
      <c r="V29" s="18" t="n">
        <f aca="false">L29*Ipotesi!$B$20+IF(A29&gt;Ipotesi!$B$21,INDEX($L$5:$L$40,A29-Ipotesi!$B$21)*(1-Ipotesi!$B$20),0)+M29+N29+O29</f>
        <v>2059.58530561996</v>
      </c>
      <c r="W29" s="18" t="n">
        <f aca="false">V29-Q29-S29</f>
        <v>912.286252262832</v>
      </c>
      <c r="X29" s="18" t="n">
        <f aca="false">X28+W29</f>
        <v>4928.08359638822</v>
      </c>
      <c r="Y29" s="45" t="n">
        <f aca="false">IF(U29&gt;=0,A29,999)</f>
        <v>999</v>
      </c>
      <c r="Z29" s="20" t="n">
        <f aca="false">F29*SUMPRODUCT((Social!$C$6:$C$11&lt;=A29)*Social!$B$6:$B$11*Social!$I$6:$I$11)</f>
        <v>1.52815389768226</v>
      </c>
      <c r="AA29" s="20" t="n">
        <f aca="false">Z29*Ipotesi!$B$50</f>
        <v>0.534853864188791</v>
      </c>
      <c r="AB29" s="20" t="n">
        <f aca="false">AA29*Ipotesi!$B$51</f>
        <v>0.294169625303835</v>
      </c>
      <c r="AC29" s="20" t="n">
        <f aca="false">MIN(AB29,MAX(0,I29-J29))</f>
        <v>0.294169625303835</v>
      </c>
      <c r="AD29" s="18" t="n">
        <f aca="false">AC29*Ipotesi!$B$37+(AA29-AC29)*Ipotesi!$B$19</f>
        <v>622.7036113818</v>
      </c>
      <c r="AE29" s="18" t="n">
        <f aca="false">SUMPRODUCT((Social!$C$6:$C$11&lt;=A29)*Social!$J$6:$J$11)</f>
        <v>920</v>
      </c>
      <c r="AF29" s="18" t="n">
        <f aca="false">SUMPRODUCT((Social!$C$6:$C$11&lt;=A29)*Social!$K$6:$K$11)</f>
        <v>433.333333333333</v>
      </c>
      <c r="AG29" s="18" t="n">
        <f aca="false">AC29*IF(A29&lt;=12,Ipotesi!$B$38,Ipotesi!$B$39)*Ipotesi!$B$22</f>
        <v>158.189716007137</v>
      </c>
      <c r="AH29" s="18" t="n">
        <f aca="false">AD29-AE29-AF29-AG29</f>
        <v>-888.819437958671</v>
      </c>
      <c r="AI29" s="18" t="n">
        <f aca="false">AI28+AH29</f>
        <v>-23686.3028929452</v>
      </c>
      <c r="AJ29" s="18" t="n">
        <f aca="false">U29+AI29</f>
        <v>-39129.9233590123</v>
      </c>
      <c r="AK29" s="18" t="n">
        <f aca="false">AC29*Ipotesi!$B$37*Ipotesi!$B$20+IF(A29&gt;Ipotesi!$B$21,INDEX($AC$5:$AC$40,A29-Ipotesi!$B$21)*Ipotesi!$B$37*(1-Ipotesi!$B$20),0)+(AA29-AC29)*Ipotesi!$B$19</f>
        <v>617.875591685987</v>
      </c>
      <c r="AL29" s="18" t="n">
        <f aca="false">X29+SUM($AK$5:AK29)-SUM($AE$5:AE29)-SUM($AG$5:AG29)</f>
        <v>-10653.374744487</v>
      </c>
      <c r="AM29" s="45" t="n">
        <f aca="false">IF(AJ29&gt;=0,A29,999)</f>
        <v>999</v>
      </c>
    </row>
    <row r="30" customFormat="false" ht="15" hidden="false" customHeight="false" outlineLevel="0" collapsed="false">
      <c r="A30" s="25" t="n">
        <v>26</v>
      </c>
      <c r="B30" s="45" t="n">
        <f aca="false">INT((A30-1)/12)+1</f>
        <v>3</v>
      </c>
      <c r="C30" s="45" t="n">
        <f aca="false">MOD(Ipotesi!$B$7-1+A30-1,12)+1</f>
        <v>12</v>
      </c>
      <c r="D30" s="46" t="n">
        <f aca="false">INDEX(Ipotesi!$B$58:$B$69,C30)</f>
        <v>0.8</v>
      </c>
      <c r="E30" s="45" t="n">
        <f aca="false">Ipotesi!$B$47*MIN(1,(A30/Ipotesi!$B$18)^2)*(1+Ipotesi!$B$48)^(MAX(0,A30-12)/12)*D30</f>
        <v>2075.78163111243</v>
      </c>
      <c r="F30" s="20" t="n">
        <f aca="false">E30*Ipotesi!$B$49</f>
        <v>4.15156326222485</v>
      </c>
      <c r="G30" s="20" t="n">
        <f aca="false">F30*Ipotesi!$B$50</f>
        <v>1.4530471417787</v>
      </c>
      <c r="H30" s="20" t="n">
        <f aca="false">G30*Ipotesi!$B$51</f>
        <v>0.799175927978284</v>
      </c>
      <c r="I30" s="20" t="n">
        <f aca="false">IF(A30&lt;=12,Ipotesi!$B$42,Ipotesi!$B$43)</f>
        <v>10.0418410041841</v>
      </c>
      <c r="J30" s="20" t="n">
        <f aca="false">MIN(H30,I30)</f>
        <v>0.799175927978284</v>
      </c>
      <c r="K30" s="20" t="n">
        <f aca="false">H30-J30</f>
        <v>0</v>
      </c>
      <c r="L30" s="18" t="n">
        <f aca="false">J30*Ipotesi!$B$37</f>
        <v>1626.32301343581</v>
      </c>
      <c r="M30" s="18" t="n">
        <f aca="false">(G30-J30)*Ipotesi!$B$19</f>
        <v>65.3871213800414</v>
      </c>
      <c r="N30" s="18" t="n">
        <f aca="false">IF(A30&gt;=Ipotesi!$B$26,Ipotesi!$B$52*Ipotesi!$B$25/12,0)</f>
        <v>0</v>
      </c>
      <c r="O30" s="18" t="n">
        <f aca="false">IF(A30&gt;=Ipotesi!$B$27,Ipotesi!$B$53,0)</f>
        <v>0</v>
      </c>
      <c r="P30" s="18" t="n">
        <f aca="false">SUM(L30:O30)</f>
        <v>1691.71013481585</v>
      </c>
      <c r="Q30" s="18" t="n">
        <f aca="false">IF(A30=1,Ipotesi!$B$10+Ipotesi!$B$11,0)+Ipotesi!$B$8*Ipotesi!$B$9+Ipotesi!$B$12+Ipotesi!$B$13+Ipotesi!$B$16*52/12*Ipotesi!$B$17</f>
        <v>620</v>
      </c>
      <c r="R30" s="18" t="n">
        <f aca="false">Ipotesi!$B$14*52/12*Ipotesi!$B$15</f>
        <v>1040</v>
      </c>
      <c r="S30" s="18" t="n">
        <f aca="false">J30*IF(A30&lt;=12,Ipotesi!$B$38,Ipotesi!$B$39)*Ipotesi!$B$22</f>
        <v>429.756855270322</v>
      </c>
      <c r="T30" s="18" t="n">
        <f aca="false">P30-Q30-R30-S30</f>
        <v>-398.046720454472</v>
      </c>
      <c r="U30" s="18" t="n">
        <f aca="false">U29+T30</f>
        <v>-15841.6671865216</v>
      </c>
      <c r="V30" s="18" t="n">
        <f aca="false">L30*Ipotesi!$B$20+IF(A30&gt;Ipotesi!$B$21,INDEX($L$5:$L$40,A30-Ipotesi!$B$21)*(1-Ipotesi!$B$20),0)+M30+N30+O30</f>
        <v>1787.69083095164</v>
      </c>
      <c r="W30" s="18" t="n">
        <f aca="false">V30-Q30-S30</f>
        <v>737.933975681316</v>
      </c>
      <c r="X30" s="18" t="n">
        <f aca="false">X29+W30</f>
        <v>5666.01757206953</v>
      </c>
      <c r="Y30" s="45" t="n">
        <f aca="false">IF(U30&gt;=0,A30,999)</f>
        <v>999</v>
      </c>
      <c r="Z30" s="20" t="n">
        <f aca="false">F30*SUMPRODUCT((Social!$C$6:$C$11&lt;=A30)*Social!$B$6:$B$11*Social!$I$6:$I$11)</f>
        <v>1.24546897866746</v>
      </c>
      <c r="AA30" s="20" t="n">
        <f aca="false">Z30*Ipotesi!$B$50</f>
        <v>0.43591414253361</v>
      </c>
      <c r="AB30" s="20" t="n">
        <f aca="false">AA30*Ipotesi!$B$51</f>
        <v>0.239752778393485</v>
      </c>
      <c r="AC30" s="20" t="n">
        <f aca="false">MIN(AB30,MAX(0,I30-J30))</f>
        <v>0.239752778393485</v>
      </c>
      <c r="AD30" s="18" t="n">
        <f aca="false">AC30*Ipotesi!$B$37+(AA30-AC30)*Ipotesi!$B$19</f>
        <v>507.513040444755</v>
      </c>
      <c r="AE30" s="18" t="n">
        <f aca="false">SUMPRODUCT((Social!$C$6:$C$11&lt;=A30)*Social!$J$6:$J$11)</f>
        <v>920</v>
      </c>
      <c r="AF30" s="18" t="n">
        <f aca="false">SUMPRODUCT((Social!$C$6:$C$11&lt;=A30)*Social!$K$6:$K$11)</f>
        <v>433.333333333333</v>
      </c>
      <c r="AG30" s="18" t="n">
        <f aca="false">AC30*IF(A30&lt;=12,Ipotesi!$B$38,Ipotesi!$B$39)*Ipotesi!$B$22</f>
        <v>128.927056581097</v>
      </c>
      <c r="AH30" s="18" t="n">
        <f aca="false">AD30-AE30-AF30-AG30</f>
        <v>-974.747349469675</v>
      </c>
      <c r="AI30" s="18" t="n">
        <f aca="false">AI29+AH30</f>
        <v>-24661.0502424148</v>
      </c>
      <c r="AJ30" s="18" t="n">
        <f aca="false">U30+AI30</f>
        <v>-40502.7174289365</v>
      </c>
      <c r="AK30" s="18" t="n">
        <f aca="false">AC30*Ipotesi!$B$37*Ipotesi!$B$20+IF(A30&gt;Ipotesi!$B$21,INDEX($AC$5:$AC$40,A30-Ipotesi!$B$21)*Ipotesi!$B$37*(1-Ipotesi!$B$20),0)+(AA30-AC30)*Ipotesi!$B$19</f>
        <v>536.307249285492</v>
      </c>
      <c r="AL30" s="18" t="n">
        <f aca="false">X30+SUM($AK$5:AK30)-SUM($AE$5:AE30)-SUM($AG$5:AG30)</f>
        <v>-10428.0605761013</v>
      </c>
      <c r="AM30" s="45" t="n">
        <f aca="false">IF(AJ30&gt;=0,A30,999)</f>
        <v>999</v>
      </c>
    </row>
    <row r="31" customFormat="false" ht="15" hidden="false" customHeight="false" outlineLevel="0" collapsed="false">
      <c r="A31" s="25" t="n">
        <v>27</v>
      </c>
      <c r="B31" s="45" t="n">
        <f aca="false">INT((A31-1)/12)+1</f>
        <v>3</v>
      </c>
      <c r="C31" s="45" t="n">
        <f aca="false">MOD(Ipotesi!$B$7-1+A31-1,12)+1</f>
        <v>1</v>
      </c>
      <c r="D31" s="46" t="n">
        <f aca="false">INDEX(Ipotesi!$B$58:$B$69,C31)</f>
        <v>0.9</v>
      </c>
      <c r="E31" s="45" t="n">
        <f aca="false">Ipotesi!$B$47*MIN(1,(A31/Ipotesi!$B$18)^2)*(1+Ipotesi!$B$48)^(MAX(0,A31-12)/12)*D31</f>
        <v>2379.08534274127</v>
      </c>
      <c r="F31" s="20" t="n">
        <f aca="false">E31*Ipotesi!$B$49</f>
        <v>4.75817068548254</v>
      </c>
      <c r="G31" s="20" t="n">
        <f aca="false">F31*Ipotesi!$B$50</f>
        <v>1.66535973991889</v>
      </c>
      <c r="H31" s="20" t="n">
        <f aca="false">G31*Ipotesi!$B$51</f>
        <v>0.915947856955389</v>
      </c>
      <c r="I31" s="20" t="n">
        <f aca="false">IF(A31&lt;=12,Ipotesi!$B$42,Ipotesi!$B$43)</f>
        <v>10.0418410041841</v>
      </c>
      <c r="J31" s="20" t="n">
        <f aca="false">MIN(H31,I31)</f>
        <v>0.915947856955389</v>
      </c>
      <c r="K31" s="20" t="n">
        <f aca="false">H31-J31</f>
        <v>0</v>
      </c>
      <c r="L31" s="18" t="n">
        <f aca="false">J31*Ipotesi!$B$37</f>
        <v>1863.95388890422</v>
      </c>
      <c r="M31" s="18" t="n">
        <f aca="false">(G31-J31)*Ipotesi!$B$19</f>
        <v>74.94118829635</v>
      </c>
      <c r="N31" s="18" t="n">
        <f aca="false">IF(A31&gt;=Ipotesi!$B$26,Ipotesi!$B$52*Ipotesi!$B$25/12,0)</f>
        <v>0</v>
      </c>
      <c r="O31" s="18" t="n">
        <f aca="false">IF(A31&gt;=Ipotesi!$B$27,Ipotesi!$B$53,0)</f>
        <v>0</v>
      </c>
      <c r="P31" s="18" t="n">
        <f aca="false">SUM(L31:O31)</f>
        <v>1938.89507720057</v>
      </c>
      <c r="Q31" s="18" t="n">
        <f aca="false">IF(A31=1,Ipotesi!$B$10+Ipotesi!$B$11,0)+Ipotesi!$B$8*Ipotesi!$B$9+Ipotesi!$B$12+Ipotesi!$B$13+Ipotesi!$B$16*52/12*Ipotesi!$B$17</f>
        <v>620</v>
      </c>
      <c r="R31" s="18" t="n">
        <f aca="false">Ipotesi!$B$14*52/12*Ipotesi!$B$15</f>
        <v>1040</v>
      </c>
      <c r="S31" s="18" t="n">
        <f aca="false">J31*IF(A31&lt;=12,Ipotesi!$B$38,Ipotesi!$B$39)*Ipotesi!$B$22</f>
        <v>492.55096007776</v>
      </c>
      <c r="T31" s="18" t="n">
        <f aca="false">P31-Q31-R31-S31</f>
        <v>-213.655882877194</v>
      </c>
      <c r="U31" s="18" t="n">
        <f aca="false">U30+T31</f>
        <v>-16055.3230693988</v>
      </c>
      <c r="V31" s="18" t="n">
        <f aca="false">L31*Ipotesi!$B$20+IF(A31&gt;Ipotesi!$B$21,INDEX($L$5:$L$40,A31-Ipotesi!$B$21)*(1-Ipotesi!$B$20),0)+M31+N31+O31</f>
        <v>1933.12426664066</v>
      </c>
      <c r="W31" s="18" t="n">
        <f aca="false">V31-Q31-S31</f>
        <v>820.573306562902</v>
      </c>
      <c r="X31" s="18" t="n">
        <f aca="false">X30+W31</f>
        <v>6486.59087863243</v>
      </c>
      <c r="Y31" s="45" t="n">
        <f aca="false">IF(U31&gt;=0,A31,999)</f>
        <v>999</v>
      </c>
      <c r="Z31" s="20" t="n">
        <f aca="false">F31*SUMPRODUCT((Social!$C$6:$C$11&lt;=A31)*Social!$B$6:$B$11*Social!$I$6:$I$11)</f>
        <v>1.42745120564476</v>
      </c>
      <c r="AA31" s="20" t="n">
        <f aca="false">Z31*Ipotesi!$B$50</f>
        <v>0.499607921975667</v>
      </c>
      <c r="AB31" s="20" t="n">
        <f aca="false">AA31*Ipotesi!$B$51</f>
        <v>0.274784357086617</v>
      </c>
      <c r="AC31" s="20" t="n">
        <f aca="false">MIN(AB31,MAX(0,I31-J31))</f>
        <v>0.274784357086617</v>
      </c>
      <c r="AD31" s="18" t="n">
        <f aca="false">AC31*Ipotesi!$B$37+(AA31-AC31)*Ipotesi!$B$19</f>
        <v>581.66852316017</v>
      </c>
      <c r="AE31" s="18" t="n">
        <f aca="false">SUMPRODUCT((Social!$C$6:$C$11&lt;=A31)*Social!$J$6:$J$11)</f>
        <v>920</v>
      </c>
      <c r="AF31" s="18" t="n">
        <f aca="false">SUMPRODUCT((Social!$C$6:$C$11&lt;=A31)*Social!$K$6:$K$11)</f>
        <v>433.333333333333</v>
      </c>
      <c r="AG31" s="18" t="n">
        <f aca="false">AC31*IF(A31&lt;=12,Ipotesi!$B$38,Ipotesi!$B$39)*Ipotesi!$B$22</f>
        <v>147.765288023328</v>
      </c>
      <c r="AH31" s="18" t="n">
        <f aca="false">AD31-AE31-AF31-AG31</f>
        <v>-919.430098196492</v>
      </c>
      <c r="AI31" s="18" t="n">
        <f aca="false">AI30+AH31</f>
        <v>-25580.4803406113</v>
      </c>
      <c r="AJ31" s="18" t="n">
        <f aca="false">U31+AI31</f>
        <v>-41635.8034100102</v>
      </c>
      <c r="AK31" s="18" t="n">
        <f aca="false">AC31*Ipotesi!$B$37*Ipotesi!$B$20+IF(A31&gt;Ipotesi!$B$21,INDEX($AC$5:$AC$40,A31-Ipotesi!$B$21)*Ipotesi!$B$37*(1-Ipotesi!$B$20),0)+(AA31-AC31)*Ipotesi!$B$19</f>
        <v>579.937279992199</v>
      </c>
      <c r="AL31" s="18" t="n">
        <f aca="false">X31+SUM($AK$5:AK31)-SUM($AE$5:AE31)-SUM($AG$5:AG31)</f>
        <v>-10095.3152775695</v>
      </c>
      <c r="AM31" s="45" t="n">
        <f aca="false">IF(AJ31&gt;=0,A31,999)</f>
        <v>999</v>
      </c>
    </row>
    <row r="32" customFormat="false" ht="15" hidden="false" customHeight="false" outlineLevel="0" collapsed="false">
      <c r="A32" s="25" t="n">
        <v>28</v>
      </c>
      <c r="B32" s="45" t="n">
        <f aca="false">INT((A32-1)/12)+1</f>
        <v>3</v>
      </c>
      <c r="C32" s="45" t="n">
        <f aca="false">MOD(Ipotesi!$B$7-1+A32-1,12)+1</f>
        <v>2</v>
      </c>
      <c r="D32" s="46" t="n">
        <f aca="false">INDEX(Ipotesi!$B$58:$B$69,C32)</f>
        <v>1</v>
      </c>
      <c r="E32" s="45" t="n">
        <f aca="false">Ipotesi!$B$47*MIN(1,(A32/Ipotesi!$B$18)^2)*(1+Ipotesi!$B$48)^(MAX(0,A32-12)/12)*D32</f>
        <v>2693.04336253985</v>
      </c>
      <c r="F32" s="20" t="n">
        <f aca="false">E32*Ipotesi!$B$49</f>
        <v>5.38608672507971</v>
      </c>
      <c r="G32" s="20" t="n">
        <f aca="false">F32*Ipotesi!$B$50</f>
        <v>1.8851303537779</v>
      </c>
      <c r="H32" s="20" t="n">
        <f aca="false">G32*Ipotesi!$B$51</f>
        <v>1.03682169457784</v>
      </c>
      <c r="I32" s="20" t="n">
        <f aca="false">IF(A32&lt;=12,Ipotesi!$B$42,Ipotesi!$B$43)</f>
        <v>10.0418410041841</v>
      </c>
      <c r="J32" s="20" t="n">
        <f aca="false">MIN(H32,I32)</f>
        <v>1.03682169457784</v>
      </c>
      <c r="K32" s="20" t="n">
        <f aca="false">H32-J32</f>
        <v>0</v>
      </c>
      <c r="L32" s="18" t="n">
        <f aca="false">J32*Ipotesi!$B$37</f>
        <v>2109.93214846591</v>
      </c>
      <c r="M32" s="18" t="n">
        <f aca="false">(G32-J32)*Ipotesi!$B$19</f>
        <v>84.8308659200054</v>
      </c>
      <c r="N32" s="18" t="n">
        <f aca="false">IF(A32&gt;=Ipotesi!$B$26,Ipotesi!$B$52*Ipotesi!$B$25/12,0)</f>
        <v>0</v>
      </c>
      <c r="O32" s="18" t="n">
        <f aca="false">IF(A32&gt;=Ipotesi!$B$27,Ipotesi!$B$53,0)</f>
        <v>0</v>
      </c>
      <c r="P32" s="18" t="n">
        <f aca="false">SUM(L32:O32)</f>
        <v>2194.76301438592</v>
      </c>
      <c r="Q32" s="18" t="n">
        <f aca="false">IF(A32=1,Ipotesi!$B$10+Ipotesi!$B$11,0)+Ipotesi!$B$8*Ipotesi!$B$9+Ipotesi!$B$12+Ipotesi!$B$13+Ipotesi!$B$16*52/12*Ipotesi!$B$17</f>
        <v>620</v>
      </c>
      <c r="R32" s="18" t="n">
        <f aca="false">Ipotesi!$B$14*52/12*Ipotesi!$B$15</f>
        <v>1040</v>
      </c>
      <c r="S32" s="18" t="n">
        <f aca="false">J32*IF(A32&lt;=12,Ipotesi!$B$38,Ipotesi!$B$39)*Ipotesi!$B$22</f>
        <v>557.550866259236</v>
      </c>
      <c r="T32" s="18" t="n">
        <f aca="false">P32-Q32-R32-S32</f>
        <v>-22.7878518733179</v>
      </c>
      <c r="U32" s="18" t="n">
        <f aca="false">U31+T32</f>
        <v>-16078.1109212722</v>
      </c>
      <c r="V32" s="18" t="n">
        <f aca="false">L32*Ipotesi!$B$20+IF(A32&gt;Ipotesi!$B$21,INDEX($L$5:$L$40,A32-Ipotesi!$B$21)*(1-Ipotesi!$B$20),0)+M32+N32+O32</f>
        <v>1800.31017981644</v>
      </c>
      <c r="W32" s="18" t="n">
        <f aca="false">V32-Q32-S32</f>
        <v>622.7593135572</v>
      </c>
      <c r="X32" s="18" t="n">
        <f aca="false">X31+W32</f>
        <v>7109.35019218963</v>
      </c>
      <c r="Y32" s="45" t="n">
        <f aca="false">IF(U32&gt;=0,A32,999)</f>
        <v>999</v>
      </c>
      <c r="Z32" s="20" t="n">
        <f aca="false">F32*SUMPRODUCT((Social!$C$6:$C$11&lt;=A32)*Social!$B$6:$B$11*Social!$I$6:$I$11)</f>
        <v>1.61582601752391</v>
      </c>
      <c r="AA32" s="20" t="n">
        <f aca="false">Z32*Ipotesi!$B$50</f>
        <v>0.565539106133369</v>
      </c>
      <c r="AB32" s="20" t="n">
        <f aca="false">AA32*Ipotesi!$B$51</f>
        <v>0.311046508373353</v>
      </c>
      <c r="AC32" s="20" t="n">
        <f aca="false">MIN(AB32,MAX(0,I32-J32))</f>
        <v>0.311046508373353</v>
      </c>
      <c r="AD32" s="18" t="n">
        <f aca="false">AC32*Ipotesi!$B$37+(AA32-AC32)*Ipotesi!$B$19</f>
        <v>658.428904315775</v>
      </c>
      <c r="AE32" s="18" t="n">
        <f aca="false">SUMPRODUCT((Social!$C$6:$C$11&lt;=A32)*Social!$J$6:$J$11)</f>
        <v>920</v>
      </c>
      <c r="AF32" s="18" t="n">
        <f aca="false">SUMPRODUCT((Social!$C$6:$C$11&lt;=A32)*Social!$K$6:$K$11)</f>
        <v>433.333333333333</v>
      </c>
      <c r="AG32" s="18" t="n">
        <f aca="false">AC32*IF(A32&lt;=12,Ipotesi!$B$38,Ipotesi!$B$39)*Ipotesi!$B$22</f>
        <v>167.265259877771</v>
      </c>
      <c r="AH32" s="18" t="n">
        <f aca="false">AD32-AE32-AF32-AG32</f>
        <v>-862.169688895329</v>
      </c>
      <c r="AI32" s="18" t="n">
        <f aca="false">AI31+AH32</f>
        <v>-26442.6500295067</v>
      </c>
      <c r="AJ32" s="18" t="n">
        <f aca="false">U32+AI32</f>
        <v>-42520.7609507788</v>
      </c>
      <c r="AK32" s="18" t="n">
        <f aca="false">AC32*Ipotesi!$B$37*Ipotesi!$B$20+IF(A32&gt;Ipotesi!$B$21,INDEX($AC$5:$AC$40,A32-Ipotesi!$B$21)*Ipotesi!$B$37*(1-Ipotesi!$B$20),0)+(AA32-AC32)*Ipotesi!$B$19</f>
        <v>540.093053944931</v>
      </c>
      <c r="AL32" s="18" t="n">
        <f aca="false">X32+SUM($AK$5:AK32)-SUM($AE$5:AE32)-SUM($AG$5:AG32)</f>
        <v>-10019.7281699451</v>
      </c>
      <c r="AM32" s="45" t="n">
        <f aca="false">IF(AJ32&gt;=0,A32,999)</f>
        <v>999</v>
      </c>
    </row>
    <row r="33" customFormat="false" ht="15" hidden="false" customHeight="false" outlineLevel="0" collapsed="false">
      <c r="A33" s="25" t="n">
        <v>29</v>
      </c>
      <c r="B33" s="45" t="n">
        <f aca="false">INT((A33-1)/12)+1</f>
        <v>3</v>
      </c>
      <c r="C33" s="45" t="n">
        <f aca="false">MOD(Ipotesi!$B$7-1+A33-1,12)+1</f>
        <v>3</v>
      </c>
      <c r="D33" s="46" t="n">
        <f aca="false">INDEX(Ipotesi!$B$58:$B$69,C33)</f>
        <v>1.1</v>
      </c>
      <c r="E33" s="45" t="n">
        <f aca="false">Ipotesi!$B$47*MIN(1,(A33/Ipotesi!$B$18)^2)*(1+Ipotesi!$B$48)^(MAX(0,A33-12)/12)*D33</f>
        <v>3017.94878813459</v>
      </c>
      <c r="F33" s="20" t="n">
        <f aca="false">E33*Ipotesi!$B$49</f>
        <v>6.03589757626917</v>
      </c>
      <c r="G33" s="20" t="n">
        <f aca="false">F33*Ipotesi!$B$50</f>
        <v>2.11256415169421</v>
      </c>
      <c r="H33" s="20" t="n">
        <f aca="false">G33*Ipotesi!$B$51</f>
        <v>1.16191028343182</v>
      </c>
      <c r="I33" s="20" t="n">
        <f aca="false">IF(A33&lt;=12,Ipotesi!$B$42,Ipotesi!$B$43)</f>
        <v>10.0418410041841</v>
      </c>
      <c r="J33" s="20" t="n">
        <f aca="false">MIN(H33,I33)</f>
        <v>1.16191028343182</v>
      </c>
      <c r="K33" s="20" t="n">
        <f aca="false">H33-J33</f>
        <v>0</v>
      </c>
      <c r="L33" s="18" t="n">
        <f aca="false">J33*Ipotesi!$B$37</f>
        <v>2364.48742678374</v>
      </c>
      <c r="M33" s="18" t="n">
        <f aca="false">(G33-J33)*Ipotesi!$B$19</f>
        <v>95.0653868262394</v>
      </c>
      <c r="N33" s="18" t="n">
        <f aca="false">IF(A33&gt;=Ipotesi!$B$26,Ipotesi!$B$52*Ipotesi!$B$25/12,0)</f>
        <v>0</v>
      </c>
      <c r="O33" s="18" t="n">
        <f aca="false">IF(A33&gt;=Ipotesi!$B$27,Ipotesi!$B$53,0)</f>
        <v>0</v>
      </c>
      <c r="P33" s="18" t="n">
        <f aca="false">SUM(L33:O33)</f>
        <v>2459.55281360998</v>
      </c>
      <c r="Q33" s="18" t="n">
        <f aca="false">IF(A33=1,Ipotesi!$B$10+Ipotesi!$B$11,0)+Ipotesi!$B$8*Ipotesi!$B$9+Ipotesi!$B$12+Ipotesi!$B$13+Ipotesi!$B$16*52/12*Ipotesi!$B$17</f>
        <v>620</v>
      </c>
      <c r="R33" s="18" t="n">
        <f aca="false">Ipotesi!$B$14*52/12*Ipotesi!$B$15</f>
        <v>1040</v>
      </c>
      <c r="S33" s="18" t="n">
        <f aca="false">J33*IF(A33&lt;=12,Ipotesi!$B$38,Ipotesi!$B$39)*Ipotesi!$B$22</f>
        <v>624.817254915459</v>
      </c>
      <c r="T33" s="18" t="n">
        <f aca="false">P33-Q33-R33-S33</f>
        <v>174.735558694525</v>
      </c>
      <c r="U33" s="18" t="n">
        <f aca="false">U32+T33</f>
        <v>-15903.3753625776</v>
      </c>
      <c r="V33" s="18" t="n">
        <f aca="false">L33*Ipotesi!$B$20+IF(A33&gt;Ipotesi!$B$21,INDEX($L$5:$L$40,A33-Ipotesi!$B$21)*(1-Ipotesi!$B$20),0)+M33+N33+O33</f>
        <v>2334.74002386451</v>
      </c>
      <c r="W33" s="18" t="n">
        <f aca="false">V33-Q33-S33</f>
        <v>1089.92276894905</v>
      </c>
      <c r="X33" s="18" t="n">
        <f aca="false">X32+W33</f>
        <v>8199.27296113869</v>
      </c>
      <c r="Y33" s="45" t="n">
        <f aca="false">IF(U33&gt;=0,A33,999)</f>
        <v>999</v>
      </c>
      <c r="Z33" s="20" t="n">
        <f aca="false">F33*SUMPRODUCT((Social!$C$6:$C$11&lt;=A33)*Social!$B$6:$B$11*Social!$I$6:$I$11)</f>
        <v>1.81076927288075</v>
      </c>
      <c r="AA33" s="20" t="n">
        <f aca="false">Z33*Ipotesi!$B$50</f>
        <v>0.633769245508263</v>
      </c>
      <c r="AB33" s="20" t="n">
        <f aca="false">AA33*Ipotesi!$B$51</f>
        <v>0.348573085029545</v>
      </c>
      <c r="AC33" s="20" t="n">
        <f aca="false">MIN(AB33,MAX(0,I33-J33))</f>
        <v>0.348573085029545</v>
      </c>
      <c r="AD33" s="18" t="n">
        <f aca="false">AC33*Ipotesi!$B$37+(AA33-AC33)*Ipotesi!$B$19</f>
        <v>737.865844082995</v>
      </c>
      <c r="AE33" s="18" t="n">
        <f aca="false">SUMPRODUCT((Social!$C$6:$C$11&lt;=A33)*Social!$J$6:$J$11)</f>
        <v>920</v>
      </c>
      <c r="AF33" s="18" t="n">
        <f aca="false">SUMPRODUCT((Social!$C$6:$C$11&lt;=A33)*Social!$K$6:$K$11)</f>
        <v>433.333333333333</v>
      </c>
      <c r="AG33" s="18" t="n">
        <f aca="false">AC33*IF(A33&lt;=12,Ipotesi!$B$38,Ipotesi!$B$39)*Ipotesi!$B$22</f>
        <v>187.445176474638</v>
      </c>
      <c r="AH33" s="18" t="n">
        <f aca="false">AD33-AE33-AF33-AG33</f>
        <v>-802.912665724976</v>
      </c>
      <c r="AI33" s="18" t="n">
        <f aca="false">AI32+AH33</f>
        <v>-27245.5626952316</v>
      </c>
      <c r="AJ33" s="18" t="n">
        <f aca="false">U33+AI33</f>
        <v>-43148.9380578093</v>
      </c>
      <c r="AK33" s="18" t="n">
        <f aca="false">AC33*Ipotesi!$B$37*Ipotesi!$B$20+IF(A33&gt;Ipotesi!$B$21,INDEX($AC$5:$AC$40,A33-Ipotesi!$B$21)*Ipotesi!$B$37*(1-Ipotesi!$B$20),0)+(AA33-AC33)*Ipotesi!$B$19</f>
        <v>700.422007159354</v>
      </c>
      <c r="AL33" s="18" t="n">
        <f aca="false">X33+SUM($AK$5:AK33)-SUM($AE$5:AE33)-SUM($AG$5:AG33)</f>
        <v>-9336.82857031137</v>
      </c>
      <c r="AM33" s="45" t="n">
        <f aca="false">IF(AJ33&gt;=0,A33,999)</f>
        <v>999</v>
      </c>
    </row>
    <row r="34" customFormat="false" ht="15" hidden="false" customHeight="false" outlineLevel="0" collapsed="false">
      <c r="A34" s="25" t="n">
        <v>30</v>
      </c>
      <c r="B34" s="45" t="n">
        <f aca="false">INT((A34-1)/12)+1</f>
        <v>3</v>
      </c>
      <c r="C34" s="45" t="n">
        <f aca="false">MOD(Ipotesi!$B$7-1+A34-1,12)+1</f>
        <v>4</v>
      </c>
      <c r="D34" s="46" t="n">
        <f aca="false">INDEX(Ipotesi!$B$58:$B$69,C34)</f>
        <v>1.2</v>
      </c>
      <c r="E34" s="45" t="n">
        <f aca="false">Ipotesi!$B$47*MIN(1,(A34/Ipotesi!$B$18)^2)*(1+Ipotesi!$B$48)^(MAX(0,A34-12)/12)*D34</f>
        <v>3354.10196624968</v>
      </c>
      <c r="F34" s="20" t="n">
        <f aca="false">E34*Ipotesi!$B$49</f>
        <v>6.70820393249937</v>
      </c>
      <c r="G34" s="20" t="n">
        <f aca="false">F34*Ipotesi!$B$50</f>
        <v>2.34787137637478</v>
      </c>
      <c r="H34" s="20" t="n">
        <f aca="false">G34*Ipotesi!$B$51</f>
        <v>1.29132925700613</v>
      </c>
      <c r="I34" s="20" t="n">
        <f aca="false">IF(A34&lt;=12,Ipotesi!$B$42,Ipotesi!$B$43)</f>
        <v>10.0418410041841</v>
      </c>
      <c r="J34" s="20" t="n">
        <f aca="false">MIN(H34,I34)</f>
        <v>1.29132925700613</v>
      </c>
      <c r="K34" s="20" t="n">
        <f aca="false">H34-J34</f>
        <v>0</v>
      </c>
      <c r="L34" s="18" t="n">
        <f aca="false">J34*Ipotesi!$B$37</f>
        <v>2627.85503800747</v>
      </c>
      <c r="M34" s="18" t="n">
        <f aca="false">(G34-J34)*Ipotesi!$B$19</f>
        <v>105.654211936865</v>
      </c>
      <c r="N34" s="18" t="n">
        <f aca="false">IF(A34&gt;=Ipotesi!$B$26,Ipotesi!$B$52*Ipotesi!$B$25/12,0)</f>
        <v>0</v>
      </c>
      <c r="O34" s="18" t="n">
        <f aca="false">IF(A34&gt;=Ipotesi!$B$27,Ipotesi!$B$53,0)</f>
        <v>0</v>
      </c>
      <c r="P34" s="18" t="n">
        <f aca="false">SUM(L34:O34)</f>
        <v>2733.50924994434</v>
      </c>
      <c r="Q34" s="18" t="n">
        <f aca="false">IF(A34=1,Ipotesi!$B$10+Ipotesi!$B$11,0)+Ipotesi!$B$8*Ipotesi!$B$9+Ipotesi!$B$12+Ipotesi!$B$13+Ipotesi!$B$16*52/12*Ipotesi!$B$17</f>
        <v>620</v>
      </c>
      <c r="R34" s="18" t="n">
        <f aca="false">Ipotesi!$B$14*52/12*Ipotesi!$B$15</f>
        <v>1040</v>
      </c>
      <c r="S34" s="18" t="n">
        <f aca="false">J34*IF(A34&lt;=12,Ipotesi!$B$38,Ipotesi!$B$39)*Ipotesi!$B$22</f>
        <v>694.412307955046</v>
      </c>
      <c r="T34" s="18" t="n">
        <f aca="false">P34-Q34-R34-S34</f>
        <v>379.096941989291</v>
      </c>
      <c r="U34" s="18" t="n">
        <f aca="false">U33+T34</f>
        <v>-15524.2784205883</v>
      </c>
      <c r="V34" s="18" t="n">
        <f aca="false">L34*Ipotesi!$B$20+IF(A34&gt;Ipotesi!$B$21,INDEX($L$5:$L$40,A34-Ipotesi!$B$21)*(1-Ipotesi!$B$20),0)+M34+N34+O34</f>
        <v>2496.8598559406</v>
      </c>
      <c r="W34" s="18" t="n">
        <f aca="false">V34-Q34-S34</f>
        <v>1182.44754798556</v>
      </c>
      <c r="X34" s="18" t="n">
        <f aca="false">X33+W34</f>
        <v>9381.72050912425</v>
      </c>
      <c r="Y34" s="45" t="n">
        <f aca="false">IF(U34&gt;=0,A34,999)</f>
        <v>999</v>
      </c>
      <c r="Z34" s="20" t="n">
        <f aca="false">F34*SUMPRODUCT((Social!$C$6:$C$11&lt;=A34)*Social!$B$6:$B$11*Social!$I$6:$I$11)</f>
        <v>2.01246117974981</v>
      </c>
      <c r="AA34" s="20" t="n">
        <f aca="false">Z34*Ipotesi!$B$50</f>
        <v>0.704361412912434</v>
      </c>
      <c r="AB34" s="20" t="n">
        <f aca="false">AA34*Ipotesi!$B$51</f>
        <v>0.387398777101839</v>
      </c>
      <c r="AC34" s="20" t="n">
        <f aca="false">MIN(AB34,MAX(0,I34-J34))</f>
        <v>0.387398777101839</v>
      </c>
      <c r="AD34" s="18" t="n">
        <f aca="false">AC34*Ipotesi!$B$37+(AA34-AC34)*Ipotesi!$B$19</f>
        <v>820.052774983301</v>
      </c>
      <c r="AE34" s="18" t="n">
        <f aca="false">SUMPRODUCT((Social!$C$6:$C$11&lt;=A34)*Social!$J$6:$J$11)</f>
        <v>920</v>
      </c>
      <c r="AF34" s="18" t="n">
        <f aca="false">SUMPRODUCT((Social!$C$6:$C$11&lt;=A34)*Social!$K$6:$K$11)</f>
        <v>433.333333333333</v>
      </c>
      <c r="AG34" s="18" t="n">
        <f aca="false">AC34*IF(A34&lt;=12,Ipotesi!$B$38,Ipotesi!$B$39)*Ipotesi!$B$22</f>
        <v>208.323692386514</v>
      </c>
      <c r="AH34" s="18" t="n">
        <f aca="false">AD34-AE34-AF34-AG34</f>
        <v>-741.604250736546</v>
      </c>
      <c r="AI34" s="18" t="n">
        <f aca="false">AI33+AH34</f>
        <v>-27987.1669459682</v>
      </c>
      <c r="AJ34" s="18" t="n">
        <f aca="false">U34+AI34</f>
        <v>-43511.4453665565</v>
      </c>
      <c r="AK34" s="18" t="n">
        <f aca="false">AC34*Ipotesi!$B$37*Ipotesi!$B$20+IF(A34&gt;Ipotesi!$B$21,INDEX($AC$5:$AC$40,A34-Ipotesi!$B$21)*Ipotesi!$B$37*(1-Ipotesi!$B$20),0)+(AA34-AC34)*Ipotesi!$B$19</f>
        <v>749.05795678218</v>
      </c>
      <c r="AL34" s="18" t="n">
        <f aca="false">X34+SUM($AK$5:AK34)-SUM($AE$5:AE34)-SUM($AG$5:AG34)</f>
        <v>-8533.64675793015</v>
      </c>
      <c r="AM34" s="45" t="n">
        <f aca="false">IF(AJ34&gt;=0,A34,999)</f>
        <v>999</v>
      </c>
    </row>
    <row r="35" customFormat="false" ht="15" hidden="false" customHeight="false" outlineLevel="0" collapsed="false">
      <c r="A35" s="25" t="n">
        <v>31</v>
      </c>
      <c r="B35" s="45" t="n">
        <f aca="false">INT((A35-1)/12)+1</f>
        <v>3</v>
      </c>
      <c r="C35" s="45" t="n">
        <f aca="false">MOD(Ipotesi!$B$7-1+A35-1,12)+1</f>
        <v>5</v>
      </c>
      <c r="D35" s="46" t="n">
        <f aca="false">INDEX(Ipotesi!$B$58:$B$69,C35)</f>
        <v>1.1</v>
      </c>
      <c r="E35" s="45" t="n">
        <f aca="false">Ipotesi!$B$47*MIN(1,(A35/Ipotesi!$B$18)^2)*(1+Ipotesi!$B$48)^(MAX(0,A35-12)/12)*D35</f>
        <v>3132.30132902389</v>
      </c>
      <c r="F35" s="20" t="n">
        <f aca="false">E35*Ipotesi!$B$49</f>
        <v>6.26460265804778</v>
      </c>
      <c r="G35" s="20" t="n">
        <f aca="false">F35*Ipotesi!$B$50</f>
        <v>2.19261093031672</v>
      </c>
      <c r="H35" s="20" t="n">
        <f aca="false">G35*Ipotesi!$B$51</f>
        <v>1.2059360116742</v>
      </c>
      <c r="I35" s="20" t="n">
        <f aca="false">IF(A35&lt;=12,Ipotesi!$B$42,Ipotesi!$B$43)</f>
        <v>10.0418410041841</v>
      </c>
      <c r="J35" s="20" t="n">
        <f aca="false">MIN(H35,I35)</f>
        <v>1.2059360116742</v>
      </c>
      <c r="K35" s="20" t="n">
        <f aca="false">H35-J35</f>
        <v>0</v>
      </c>
      <c r="L35" s="18" t="n">
        <f aca="false">J35*Ipotesi!$B$37</f>
        <v>2454.07978375699</v>
      </c>
      <c r="M35" s="18" t="n">
        <f aca="false">(G35-J35)*Ipotesi!$B$19</f>
        <v>98.6674918642525</v>
      </c>
      <c r="N35" s="18" t="n">
        <f aca="false">IF(A35&gt;=Ipotesi!$B$26,Ipotesi!$B$52*Ipotesi!$B$25/12,0)</f>
        <v>0</v>
      </c>
      <c r="O35" s="18" t="n">
        <f aca="false">IF(A35&gt;=Ipotesi!$B$27,Ipotesi!$B$53,0)</f>
        <v>0</v>
      </c>
      <c r="P35" s="18" t="n">
        <f aca="false">SUM(L35:O35)</f>
        <v>2552.74727562125</v>
      </c>
      <c r="Q35" s="18" t="n">
        <f aca="false">IF(A35=1,Ipotesi!$B$10+Ipotesi!$B$11,0)+Ipotesi!$B$8*Ipotesi!$B$9+Ipotesi!$B$12+Ipotesi!$B$13+Ipotesi!$B$16*52/12*Ipotesi!$B$17</f>
        <v>620</v>
      </c>
      <c r="R35" s="18" t="n">
        <f aca="false">Ipotesi!$B$14*52/12*Ipotesi!$B$15</f>
        <v>1040</v>
      </c>
      <c r="S35" s="18" t="n">
        <f aca="false">J35*IF(A35&lt;=12,Ipotesi!$B$38,Ipotesi!$B$39)*Ipotesi!$B$22</f>
        <v>648.4920902778</v>
      </c>
      <c r="T35" s="18" t="n">
        <f aca="false">P35-Q35-R35-S35</f>
        <v>244.255185343446</v>
      </c>
      <c r="U35" s="18" t="n">
        <f aca="false">U34+T35</f>
        <v>-15280.0232352449</v>
      </c>
      <c r="V35" s="18" t="n">
        <f aca="false">L35*Ipotesi!$B$20+IF(A35&gt;Ipotesi!$B$21,INDEX($L$5:$L$40,A35-Ipotesi!$B$21)*(1-Ipotesi!$B$20),0)+M35+N35+O35</f>
        <v>2323.43269623159</v>
      </c>
      <c r="W35" s="18" t="n">
        <f aca="false">V35-Q35-S35</f>
        <v>1054.94060595379</v>
      </c>
      <c r="X35" s="18" t="n">
        <f aca="false">X34+W35</f>
        <v>10436.661115078</v>
      </c>
      <c r="Y35" s="45" t="n">
        <f aca="false">IF(U35&gt;=0,A35,999)</f>
        <v>999</v>
      </c>
      <c r="Z35" s="20" t="n">
        <f aca="false">F35*SUMPRODUCT((Social!$C$6:$C$11&lt;=A35)*Social!$B$6:$B$11*Social!$I$6:$I$11)</f>
        <v>1.87938079741433</v>
      </c>
      <c r="AA35" s="20" t="n">
        <f aca="false">Z35*Ipotesi!$B$50</f>
        <v>0.657783279095017</v>
      </c>
      <c r="AB35" s="20" t="n">
        <f aca="false">AA35*Ipotesi!$B$51</f>
        <v>0.361780803502259</v>
      </c>
      <c r="AC35" s="20" t="n">
        <f aca="false">MIN(AB35,MAX(0,I35-J35))</f>
        <v>0.361780803502259</v>
      </c>
      <c r="AD35" s="18" t="n">
        <f aca="false">AC35*Ipotesi!$B$37+(AA35-AC35)*Ipotesi!$B$19</f>
        <v>765.824182686374</v>
      </c>
      <c r="AE35" s="18" t="n">
        <f aca="false">SUMPRODUCT((Social!$C$6:$C$11&lt;=A35)*Social!$J$6:$J$11)</f>
        <v>920</v>
      </c>
      <c r="AF35" s="18" t="n">
        <f aca="false">SUMPRODUCT((Social!$C$6:$C$11&lt;=A35)*Social!$K$6:$K$11)</f>
        <v>433.333333333333</v>
      </c>
      <c r="AG35" s="18" t="n">
        <f aca="false">AC35*IF(A35&lt;=12,Ipotesi!$B$38,Ipotesi!$B$39)*Ipotesi!$B$22</f>
        <v>194.54762708334</v>
      </c>
      <c r="AH35" s="18" t="n">
        <f aca="false">AD35-AE35-AF35-AG35</f>
        <v>-782.0567777303</v>
      </c>
      <c r="AI35" s="18" t="n">
        <f aca="false">AI34+AH35</f>
        <v>-28769.2237236985</v>
      </c>
      <c r="AJ35" s="18" t="n">
        <f aca="false">U35+AI35</f>
        <v>-44049.2469589434</v>
      </c>
      <c r="AK35" s="18" t="n">
        <f aca="false">AC35*Ipotesi!$B$37*Ipotesi!$B$20+IF(A35&gt;Ipotesi!$B$21,INDEX($AC$5:$AC$40,A35-Ipotesi!$B$21)*Ipotesi!$B$37*(1-Ipotesi!$B$20),0)+(AA35-AC35)*Ipotesi!$B$19</f>
        <v>697.029808869477</v>
      </c>
      <c r="AL35" s="18" t="n">
        <f aca="false">X35+SUM($AK$5:AK35)-SUM($AE$5:AE35)-SUM($AG$5:AG35)</f>
        <v>-7896.22397019023</v>
      </c>
      <c r="AM35" s="45" t="n">
        <f aca="false">IF(AJ35&gt;=0,A35,999)</f>
        <v>999</v>
      </c>
    </row>
    <row r="36" customFormat="false" ht="15" hidden="false" customHeight="false" outlineLevel="0" collapsed="false">
      <c r="A36" s="25" t="n">
        <v>32</v>
      </c>
      <c r="B36" s="45" t="n">
        <f aca="false">INT((A36-1)/12)+1</f>
        <v>3</v>
      </c>
      <c r="C36" s="45" t="n">
        <f aca="false">MOD(Ipotesi!$B$7-1+A36-1,12)+1</f>
        <v>6</v>
      </c>
      <c r="D36" s="46" t="n">
        <f aca="false">INDEX(Ipotesi!$B$58:$B$69,C36)</f>
        <v>1</v>
      </c>
      <c r="E36" s="45" t="n">
        <f aca="false">Ipotesi!$B$47*MIN(1,(A36/Ipotesi!$B$18)^2)*(1+Ipotesi!$B$48)^(MAX(0,A36-12)/12)*D36</f>
        <v>2900.99302100799</v>
      </c>
      <c r="F36" s="20" t="n">
        <f aca="false">E36*Ipotesi!$B$49</f>
        <v>5.80198604201597</v>
      </c>
      <c r="G36" s="20" t="n">
        <f aca="false">F36*Ipotesi!$B$50</f>
        <v>2.03069511470559</v>
      </c>
      <c r="H36" s="20" t="n">
        <f aca="false">G36*Ipotesi!$B$51</f>
        <v>1.11688231308808</v>
      </c>
      <c r="I36" s="20" t="n">
        <f aca="false">IF(A36&lt;=12,Ipotesi!$B$42,Ipotesi!$B$43)</f>
        <v>10.0418410041841</v>
      </c>
      <c r="J36" s="20" t="n">
        <f aca="false">MIN(H36,I36)</f>
        <v>1.11688231308808</v>
      </c>
      <c r="K36" s="20" t="n">
        <f aca="false">H36-J36</f>
        <v>0</v>
      </c>
      <c r="L36" s="18" t="n">
        <f aca="false">J36*Ipotesi!$B$37</f>
        <v>2272.85550713423</v>
      </c>
      <c r="M36" s="18" t="n">
        <f aca="false">(G36-J36)*Ipotesi!$B$19</f>
        <v>91.3812801617516</v>
      </c>
      <c r="N36" s="18" t="n">
        <f aca="false">IF(A36&gt;=Ipotesi!$B$26,Ipotesi!$B$52*Ipotesi!$B$25/12,0)</f>
        <v>0</v>
      </c>
      <c r="O36" s="18" t="n">
        <f aca="false">IF(A36&gt;=Ipotesi!$B$27,Ipotesi!$B$53,0)</f>
        <v>0</v>
      </c>
      <c r="P36" s="18" t="n">
        <f aca="false">SUM(L36:O36)</f>
        <v>2364.23678729598</v>
      </c>
      <c r="Q36" s="18" t="n">
        <f aca="false">IF(A36=1,Ipotesi!$B$10+Ipotesi!$B$11,0)+Ipotesi!$B$8*Ipotesi!$B$9+Ipotesi!$B$12+Ipotesi!$B$13+Ipotesi!$B$16*52/12*Ipotesi!$B$17</f>
        <v>620</v>
      </c>
      <c r="R36" s="18" t="n">
        <f aca="false">Ipotesi!$B$14*52/12*Ipotesi!$B$15</f>
        <v>1040</v>
      </c>
      <c r="S36" s="18" t="n">
        <f aca="false">J36*IF(A36&lt;=12,Ipotesi!$B$38,Ipotesi!$B$39)*Ipotesi!$B$22</f>
        <v>600.603463863112</v>
      </c>
      <c r="T36" s="18" t="n">
        <f aca="false">P36-Q36-R36-S36</f>
        <v>103.633323432872</v>
      </c>
      <c r="U36" s="18" t="n">
        <f aca="false">U35+T36</f>
        <v>-15176.389911812</v>
      </c>
      <c r="V36" s="18" t="n">
        <f aca="false">L36*Ipotesi!$B$20+IF(A36&gt;Ipotesi!$B$21,INDEX($L$5:$L$40,A36-Ipotesi!$B$21)*(1-Ipotesi!$B$20),0)+M36+N36+O36</f>
        <v>2040.97054044677</v>
      </c>
      <c r="W36" s="18" t="n">
        <f aca="false">V36-Q36-S36</f>
        <v>820.36707658366</v>
      </c>
      <c r="X36" s="18" t="n">
        <f aca="false">X35+W36</f>
        <v>11257.0281916617</v>
      </c>
      <c r="Y36" s="45" t="n">
        <f aca="false">IF(U36&gt;=0,A36,999)</f>
        <v>999</v>
      </c>
      <c r="Z36" s="20" t="n">
        <f aca="false">F36*SUMPRODUCT((Social!$C$6:$C$11&lt;=A36)*Social!$B$6:$B$11*Social!$I$6:$I$11)</f>
        <v>1.74059581260479</v>
      </c>
      <c r="AA36" s="20" t="n">
        <f aca="false">Z36*Ipotesi!$B$50</f>
        <v>0.609208534411677</v>
      </c>
      <c r="AB36" s="20" t="n">
        <f aca="false">AA36*Ipotesi!$B$51</f>
        <v>0.335064693926423</v>
      </c>
      <c r="AC36" s="20" t="n">
        <f aca="false">MIN(AB36,MAX(0,I36-J36))</f>
        <v>0.335064693926423</v>
      </c>
      <c r="AD36" s="18" t="n">
        <f aca="false">AC36*Ipotesi!$B$37+(AA36-AC36)*Ipotesi!$B$19</f>
        <v>709.271036188795</v>
      </c>
      <c r="AE36" s="18" t="n">
        <f aca="false">SUMPRODUCT((Social!$C$6:$C$11&lt;=A36)*Social!$J$6:$J$11)</f>
        <v>920</v>
      </c>
      <c r="AF36" s="18" t="n">
        <f aca="false">SUMPRODUCT((Social!$C$6:$C$11&lt;=A36)*Social!$K$6:$K$11)</f>
        <v>433.333333333333</v>
      </c>
      <c r="AG36" s="18" t="n">
        <f aca="false">AC36*IF(A36&lt;=12,Ipotesi!$B$38,Ipotesi!$B$39)*Ipotesi!$B$22</f>
        <v>180.181039158934</v>
      </c>
      <c r="AH36" s="18" t="n">
        <f aca="false">AD36-AE36-AF36-AG36</f>
        <v>-824.243336303472</v>
      </c>
      <c r="AI36" s="18" t="n">
        <f aca="false">AI35+AH36</f>
        <v>-29593.4670600019</v>
      </c>
      <c r="AJ36" s="18" t="n">
        <f aca="false">U36+AI36</f>
        <v>-44769.856971814</v>
      </c>
      <c r="AK36" s="18" t="n">
        <f aca="false">AC36*Ipotesi!$B$37*Ipotesi!$B$20+IF(A36&gt;Ipotesi!$B$21,INDEX($AC$5:$AC$40,A36-Ipotesi!$B$21)*Ipotesi!$B$37*(1-Ipotesi!$B$20),0)+(AA36-AC36)*Ipotesi!$B$19</f>
        <v>612.291162134032</v>
      </c>
      <c r="AL36" s="18" t="n">
        <f aca="false">X36+SUM($AK$5:AK36)-SUM($AE$5:AE36)-SUM($AG$5:AG36)</f>
        <v>-7563.74677063146</v>
      </c>
      <c r="AM36" s="45" t="n">
        <f aca="false">IF(AJ36&gt;=0,A36,999)</f>
        <v>999</v>
      </c>
    </row>
    <row r="37" customFormat="false" ht="15" hidden="false" customHeight="false" outlineLevel="0" collapsed="false">
      <c r="A37" s="25" t="n">
        <v>33</v>
      </c>
      <c r="B37" s="45" t="n">
        <f aca="false">INT((A37-1)/12)+1</f>
        <v>3</v>
      </c>
      <c r="C37" s="45" t="n">
        <f aca="false">MOD(Ipotesi!$B$7-1+A37-1,12)+1</f>
        <v>7</v>
      </c>
      <c r="D37" s="46" t="n">
        <f aca="false">INDEX(Ipotesi!$B$58:$B$69,C37)</f>
        <v>1</v>
      </c>
      <c r="E37" s="45" t="n">
        <f aca="false">Ipotesi!$B$47*MIN(1,(A37/Ipotesi!$B$18)^2)*(1+Ipotesi!$B$48)^(MAX(0,A37-12)/12)*D37</f>
        <v>2955.44252813492</v>
      </c>
      <c r="F37" s="20" t="n">
        <f aca="false">E37*Ipotesi!$B$49</f>
        <v>5.91088505626985</v>
      </c>
      <c r="G37" s="20" t="n">
        <f aca="false">F37*Ipotesi!$B$50</f>
        <v>2.06880976969445</v>
      </c>
      <c r="H37" s="20" t="n">
        <f aca="false">G37*Ipotesi!$B$51</f>
        <v>1.13784537333195</v>
      </c>
      <c r="I37" s="20" t="n">
        <f aca="false">IF(A37&lt;=12,Ipotesi!$B$42,Ipotesi!$B$43)</f>
        <v>10.0418410041841</v>
      </c>
      <c r="J37" s="20" t="n">
        <f aca="false">MIN(H37,I37)</f>
        <v>1.13784537333195</v>
      </c>
      <c r="K37" s="20" t="n">
        <f aca="false">H37-J37</f>
        <v>0</v>
      </c>
      <c r="L37" s="18" t="n">
        <f aca="false">J37*Ipotesi!$B$37</f>
        <v>2315.51533473051</v>
      </c>
      <c r="M37" s="18" t="n">
        <f aca="false">(G37-J37)*Ipotesi!$B$19</f>
        <v>93.0964396362501</v>
      </c>
      <c r="N37" s="18" t="n">
        <f aca="false">IF(A37&gt;=Ipotesi!$B$26,Ipotesi!$B$52*Ipotesi!$B$25/12,0)</f>
        <v>0</v>
      </c>
      <c r="O37" s="18" t="n">
        <f aca="false">IF(A37&gt;=Ipotesi!$B$27,Ipotesi!$B$53,0)</f>
        <v>0</v>
      </c>
      <c r="P37" s="18" t="n">
        <f aca="false">SUM(L37:O37)</f>
        <v>2408.61177436676</v>
      </c>
      <c r="Q37" s="18" t="n">
        <f aca="false">IF(A37=1,Ipotesi!$B$10+Ipotesi!$B$11,0)+Ipotesi!$B$8*Ipotesi!$B$9+Ipotesi!$B$12+Ipotesi!$B$13+Ipotesi!$B$16*52/12*Ipotesi!$B$17</f>
        <v>620</v>
      </c>
      <c r="R37" s="18" t="n">
        <f aca="false">Ipotesi!$B$14*52/12*Ipotesi!$B$15</f>
        <v>1040</v>
      </c>
      <c r="S37" s="18" t="n">
        <f aca="false">J37*IF(A37&lt;=12,Ipotesi!$B$38,Ipotesi!$B$39)*Ipotesi!$B$22</f>
        <v>611.876349509254</v>
      </c>
      <c r="T37" s="18" t="n">
        <f aca="false">P37-Q37-R37-S37</f>
        <v>136.735424857506</v>
      </c>
      <c r="U37" s="18" t="n">
        <f aca="false">U36+T37</f>
        <v>-15039.6544869545</v>
      </c>
      <c r="V37" s="18" t="n">
        <f aca="false">L37*Ipotesi!$B$20+IF(A37&gt;Ipotesi!$B$21,INDEX($L$5:$L$40,A37-Ipotesi!$B$21)*(1-Ipotesi!$B$20),0)+M37+N37+O37</f>
        <v>2182.83105145361</v>
      </c>
      <c r="W37" s="18" t="n">
        <f aca="false">V37-Q37-S37</f>
        <v>950.954701944359</v>
      </c>
      <c r="X37" s="18" t="n">
        <f aca="false">X36+W37</f>
        <v>12207.9828936061</v>
      </c>
      <c r="Y37" s="45" t="n">
        <f aca="false">IF(U37&gt;=0,A37,999)</f>
        <v>999</v>
      </c>
      <c r="Z37" s="20" t="n">
        <f aca="false">F37*SUMPRODUCT((Social!$C$6:$C$11&lt;=A37)*Social!$B$6:$B$11*Social!$I$6:$I$11)</f>
        <v>1.77326551688095</v>
      </c>
      <c r="AA37" s="20" t="n">
        <f aca="false">Z37*Ipotesi!$B$50</f>
        <v>0.620642930908334</v>
      </c>
      <c r="AB37" s="20" t="n">
        <f aca="false">AA37*Ipotesi!$B$51</f>
        <v>0.341353611999584</v>
      </c>
      <c r="AC37" s="20" t="n">
        <f aca="false">MIN(AB37,MAX(0,I37-J37))</f>
        <v>0.341353611999584</v>
      </c>
      <c r="AD37" s="18" t="n">
        <f aca="false">AC37*Ipotesi!$B$37+(AA37-AC37)*Ipotesi!$B$19</f>
        <v>722.583532310028</v>
      </c>
      <c r="AE37" s="18" t="n">
        <f aca="false">SUMPRODUCT((Social!$C$6:$C$11&lt;=A37)*Social!$J$6:$J$11)</f>
        <v>920</v>
      </c>
      <c r="AF37" s="18" t="n">
        <f aca="false">SUMPRODUCT((Social!$C$6:$C$11&lt;=A37)*Social!$K$6:$K$11)</f>
        <v>433.333333333333</v>
      </c>
      <c r="AG37" s="18" t="n">
        <f aca="false">AC37*IF(A37&lt;=12,Ipotesi!$B$38,Ipotesi!$B$39)*Ipotesi!$B$22</f>
        <v>183.562904852776</v>
      </c>
      <c r="AH37" s="18" t="n">
        <f aca="false">AD37-AE37-AF37-AG37</f>
        <v>-814.312705876081</v>
      </c>
      <c r="AI37" s="18" t="n">
        <f aca="false">AI36+AH37</f>
        <v>-30407.779765878</v>
      </c>
      <c r="AJ37" s="18" t="n">
        <f aca="false">U37+AI37</f>
        <v>-45447.4342528325</v>
      </c>
      <c r="AK37" s="18" t="n">
        <f aca="false">AC37*Ipotesi!$B$37*Ipotesi!$B$20+IF(A37&gt;Ipotesi!$B$21,INDEX($AC$5:$AC$40,A37-Ipotesi!$B$21)*Ipotesi!$B$37*(1-Ipotesi!$B$20),0)+(AA37-AC37)*Ipotesi!$B$19</f>
        <v>654.849315436084</v>
      </c>
      <c r="AL37" s="18" t="n">
        <f aca="false">X37+SUM($AK$5:AK37)-SUM($AE$5:AE37)-SUM($AG$5:AG37)</f>
        <v>-7061.5056581038</v>
      </c>
      <c r="AM37" s="45" t="n">
        <f aca="false">IF(AJ37&gt;=0,A37,999)</f>
        <v>999</v>
      </c>
    </row>
    <row r="38" customFormat="false" ht="15" hidden="false" customHeight="false" outlineLevel="0" collapsed="false">
      <c r="A38" s="25" t="n">
        <v>34</v>
      </c>
      <c r="B38" s="45" t="n">
        <f aca="false">INT((A38-1)/12)+1</f>
        <v>3</v>
      </c>
      <c r="C38" s="45" t="n">
        <f aca="false">MOD(Ipotesi!$B$7-1+A38-1,12)+1</f>
        <v>8</v>
      </c>
      <c r="D38" s="46" t="n">
        <f aca="false">INDEX(Ipotesi!$B$58:$B$69,C38)</f>
        <v>0.7</v>
      </c>
      <c r="E38" s="45" t="n">
        <f aca="false">Ipotesi!$B$47*MIN(1,(A38/Ipotesi!$B$18)^2)*(1+Ipotesi!$B$48)^(MAX(0,A38-12)/12)*D38</f>
        <v>2107.6398087478</v>
      </c>
      <c r="F38" s="20" t="n">
        <f aca="false">E38*Ipotesi!$B$49</f>
        <v>4.21527961749561</v>
      </c>
      <c r="G38" s="20" t="n">
        <f aca="false">F38*Ipotesi!$B$50</f>
        <v>1.47534786612346</v>
      </c>
      <c r="H38" s="20" t="n">
        <f aca="false">G38*Ipotesi!$B$51</f>
        <v>0.811441326367904</v>
      </c>
      <c r="I38" s="20" t="n">
        <f aca="false">IF(A38&lt;=12,Ipotesi!$B$42,Ipotesi!$B$43)</f>
        <v>10.0418410041841</v>
      </c>
      <c r="J38" s="20" t="n">
        <f aca="false">MIN(H38,I38)</f>
        <v>0.811441326367904</v>
      </c>
      <c r="K38" s="20" t="n">
        <f aca="false">H38-J38</f>
        <v>0</v>
      </c>
      <c r="L38" s="18" t="n">
        <f aca="false">J38*Ipotesi!$B$37</f>
        <v>1651.28309915869</v>
      </c>
      <c r="M38" s="18" t="n">
        <f aca="false">(G38-J38)*Ipotesi!$B$19</f>
        <v>66.3906539755558</v>
      </c>
      <c r="N38" s="18" t="n">
        <f aca="false">IF(A38&gt;=Ipotesi!$B$26,Ipotesi!$B$52*Ipotesi!$B$25/12,0)</f>
        <v>0</v>
      </c>
      <c r="O38" s="18" t="n">
        <f aca="false">IF(A38&gt;=Ipotesi!$B$27,Ipotesi!$B$53,0)</f>
        <v>0</v>
      </c>
      <c r="P38" s="18" t="n">
        <f aca="false">SUM(L38:O38)</f>
        <v>1717.67375313424</v>
      </c>
      <c r="Q38" s="18" t="n">
        <f aca="false">IF(A38=1,Ipotesi!$B$10+Ipotesi!$B$11,0)+Ipotesi!$B$8*Ipotesi!$B$9+Ipotesi!$B$12+Ipotesi!$B$13+Ipotesi!$B$16*52/12*Ipotesi!$B$17</f>
        <v>620</v>
      </c>
      <c r="R38" s="18" t="n">
        <f aca="false">Ipotesi!$B$14*52/12*Ipotesi!$B$15</f>
        <v>1040</v>
      </c>
      <c r="S38" s="18" t="n">
        <f aca="false">J38*IF(A38&lt;=12,Ipotesi!$B$38,Ipotesi!$B$39)*Ipotesi!$B$22</f>
        <v>436.352573254341</v>
      </c>
      <c r="T38" s="18" t="n">
        <f aca="false">P38-Q38-R38-S38</f>
        <v>-378.678820120099</v>
      </c>
      <c r="U38" s="18" t="n">
        <f aca="false">U37+T38</f>
        <v>-15418.3333070746</v>
      </c>
      <c r="V38" s="18" t="n">
        <f aca="false">L38*Ipotesi!$B$20+IF(A38&gt;Ipotesi!$B$21,INDEX($L$5:$L$40,A38-Ipotesi!$B$21)*(1-Ipotesi!$B$20),0)+M38+N38+O38</f>
        <v>1946.99827778786</v>
      </c>
      <c r="W38" s="18" t="n">
        <f aca="false">V38-Q38-S38</f>
        <v>890.645704533514</v>
      </c>
      <c r="X38" s="18" t="n">
        <f aca="false">X37+W38</f>
        <v>13098.6285981396</v>
      </c>
      <c r="Y38" s="45" t="n">
        <f aca="false">IF(U38&gt;=0,A38,999)</f>
        <v>999</v>
      </c>
      <c r="Z38" s="20" t="n">
        <f aca="false">F38*SUMPRODUCT((Social!$C$6:$C$11&lt;=A38)*Social!$B$6:$B$11*Social!$I$6:$I$11)</f>
        <v>1.26458388524868</v>
      </c>
      <c r="AA38" s="20" t="n">
        <f aca="false">Z38*Ipotesi!$B$50</f>
        <v>0.442604359837039</v>
      </c>
      <c r="AB38" s="20" t="n">
        <f aca="false">AA38*Ipotesi!$B$51</f>
        <v>0.243432397910371</v>
      </c>
      <c r="AC38" s="20" t="n">
        <f aca="false">MIN(AB38,MAX(0,I38-J38))</f>
        <v>0.243432397910371</v>
      </c>
      <c r="AD38" s="18" t="n">
        <f aca="false">AC38*Ipotesi!$B$37+(AA38-AC38)*Ipotesi!$B$19</f>
        <v>515.302125940272</v>
      </c>
      <c r="AE38" s="18" t="n">
        <f aca="false">SUMPRODUCT((Social!$C$6:$C$11&lt;=A38)*Social!$J$6:$J$11)</f>
        <v>920</v>
      </c>
      <c r="AF38" s="18" t="n">
        <f aca="false">SUMPRODUCT((Social!$C$6:$C$11&lt;=A38)*Social!$K$6:$K$11)</f>
        <v>433.333333333333</v>
      </c>
      <c r="AG38" s="18" t="n">
        <f aca="false">AC38*IF(A38&lt;=12,Ipotesi!$B$38,Ipotesi!$B$39)*Ipotesi!$B$22</f>
        <v>130.905771976302</v>
      </c>
      <c r="AH38" s="18" t="n">
        <f aca="false">AD38-AE38-AF38-AG38</f>
        <v>-968.936979369363</v>
      </c>
      <c r="AI38" s="18" t="n">
        <f aca="false">AI37+AH38</f>
        <v>-31376.7167452474</v>
      </c>
      <c r="AJ38" s="18" t="n">
        <f aca="false">U38+AI38</f>
        <v>-46795.050052322</v>
      </c>
      <c r="AK38" s="18" t="n">
        <f aca="false">AC38*Ipotesi!$B$37*Ipotesi!$B$20+IF(A38&gt;Ipotesi!$B$21,INDEX($AC$5:$AC$40,A38-Ipotesi!$B$21)*Ipotesi!$B$37*(1-Ipotesi!$B$20),0)+(AA38-AC38)*Ipotesi!$B$19</f>
        <v>584.099483336357</v>
      </c>
      <c r="AL38" s="18" t="n">
        <f aca="false">X38+SUM($AK$5:AK38)-SUM($AE$5:AE38)-SUM($AG$5:AG38)</f>
        <v>-6637.66624221023</v>
      </c>
      <c r="AM38" s="45" t="n">
        <f aca="false">IF(AJ38&gt;=0,A38,999)</f>
        <v>999</v>
      </c>
    </row>
    <row r="39" customFormat="false" ht="15" hidden="false" customHeight="false" outlineLevel="0" collapsed="false">
      <c r="A39" s="25" t="n">
        <v>35</v>
      </c>
      <c r="B39" s="45" t="n">
        <f aca="false">INT((A39-1)/12)+1</f>
        <v>3</v>
      </c>
      <c r="C39" s="45" t="n">
        <f aca="false">MOD(Ipotesi!$B$7-1+A39-1,12)+1</f>
        <v>9</v>
      </c>
      <c r="D39" s="46" t="n">
        <f aca="false">INDEX(Ipotesi!$B$58:$B$69,C39)</f>
        <v>1.1</v>
      </c>
      <c r="E39" s="45" t="n">
        <f aca="false">Ipotesi!$B$47*MIN(1,(A39/Ipotesi!$B$18)^2)*(1+Ipotesi!$B$48)^(MAX(0,A39-12)/12)*D39</f>
        <v>3374.16932144102</v>
      </c>
      <c r="F39" s="20" t="n">
        <f aca="false">E39*Ipotesi!$B$49</f>
        <v>6.74833864288204</v>
      </c>
      <c r="G39" s="20" t="n">
        <f aca="false">F39*Ipotesi!$B$50</f>
        <v>2.36191852500872</v>
      </c>
      <c r="H39" s="20" t="n">
        <f aca="false">G39*Ipotesi!$B$51</f>
        <v>1.29905518875479</v>
      </c>
      <c r="I39" s="20" t="n">
        <f aca="false">IF(A39&lt;=12,Ipotesi!$B$42,Ipotesi!$B$43)</f>
        <v>10.0418410041841</v>
      </c>
      <c r="J39" s="20" t="n">
        <f aca="false">MIN(H39,I39)</f>
        <v>1.29905518875479</v>
      </c>
      <c r="K39" s="20" t="n">
        <f aca="false">H39-J39</f>
        <v>0</v>
      </c>
      <c r="L39" s="18" t="n">
        <f aca="false">J39*Ipotesi!$B$37</f>
        <v>2643.577309116</v>
      </c>
      <c r="M39" s="18" t="n">
        <f aca="false">(G39-J39)*Ipotesi!$B$19</f>
        <v>106.286333625392</v>
      </c>
      <c r="N39" s="18" t="n">
        <f aca="false">IF(A39&gt;=Ipotesi!$B$26,Ipotesi!$B$52*Ipotesi!$B$25/12,0)</f>
        <v>0</v>
      </c>
      <c r="O39" s="18" t="n">
        <f aca="false">IF(A39&gt;=Ipotesi!$B$27,Ipotesi!$B$53,0)</f>
        <v>0</v>
      </c>
      <c r="P39" s="18" t="n">
        <f aca="false">SUM(L39:O39)</f>
        <v>2749.8636427414</v>
      </c>
      <c r="Q39" s="18" t="n">
        <f aca="false">IF(A39=1,Ipotesi!$B$10+Ipotesi!$B$11,0)+Ipotesi!$B$8*Ipotesi!$B$9+Ipotesi!$B$12+Ipotesi!$B$13+Ipotesi!$B$16*52/12*Ipotesi!$B$17</f>
        <v>620</v>
      </c>
      <c r="R39" s="18" t="n">
        <f aca="false">Ipotesi!$B$14*52/12*Ipotesi!$B$15</f>
        <v>1040</v>
      </c>
      <c r="S39" s="18" t="n">
        <f aca="false">J39*IF(A39&lt;=12,Ipotesi!$B$38,Ipotesi!$B$39)*Ipotesi!$B$22</f>
        <v>698.56692775289</v>
      </c>
      <c r="T39" s="18" t="n">
        <f aca="false">P39-Q39-R39-S39</f>
        <v>391.296714988506</v>
      </c>
      <c r="U39" s="18" t="n">
        <f aca="false">U38+T39</f>
        <v>-15027.0365920861</v>
      </c>
      <c r="V39" s="18" t="n">
        <f aca="false">L39*Ipotesi!$B$20+IF(A39&gt;Ipotesi!$B$21,INDEX($L$5:$L$40,A39-Ipotesi!$B$21)*(1-Ipotesi!$B$20),0)+M39+N39+O39</f>
        <v>2610.31870157527</v>
      </c>
      <c r="W39" s="18" t="n">
        <f aca="false">V39-Q39-S39</f>
        <v>1291.75177382238</v>
      </c>
      <c r="X39" s="18" t="n">
        <f aca="false">X38+W39</f>
        <v>14390.3803719619</v>
      </c>
      <c r="Y39" s="45" t="n">
        <f aca="false">IF(U39&gt;=0,A39,999)</f>
        <v>999</v>
      </c>
      <c r="Z39" s="20" t="n">
        <f aca="false">F39*SUMPRODUCT((Social!$C$6:$C$11&lt;=A39)*Social!$B$6:$B$11*Social!$I$6:$I$11)</f>
        <v>2.02450159286461</v>
      </c>
      <c r="AA39" s="20" t="n">
        <f aca="false">Z39*Ipotesi!$B$50</f>
        <v>0.708575557502615</v>
      </c>
      <c r="AB39" s="20" t="n">
        <f aca="false">AA39*Ipotesi!$B$51</f>
        <v>0.389716556626438</v>
      </c>
      <c r="AC39" s="20" t="n">
        <f aca="false">MIN(AB39,MAX(0,I39-J39))</f>
        <v>0.389716556626438</v>
      </c>
      <c r="AD39" s="18" t="n">
        <f aca="false">AC39*Ipotesi!$B$37+(AA39-AC39)*Ipotesi!$B$19</f>
        <v>824.959092822419</v>
      </c>
      <c r="AE39" s="18" t="n">
        <f aca="false">SUMPRODUCT((Social!$C$6:$C$11&lt;=A39)*Social!$J$6:$J$11)</f>
        <v>920</v>
      </c>
      <c r="AF39" s="18" t="n">
        <f aca="false">SUMPRODUCT((Social!$C$6:$C$11&lt;=A39)*Social!$K$6:$K$11)</f>
        <v>433.333333333333</v>
      </c>
      <c r="AG39" s="18" t="n">
        <f aca="false">AC39*IF(A39&lt;=12,Ipotesi!$B$38,Ipotesi!$B$39)*Ipotesi!$B$22</f>
        <v>209.570078325867</v>
      </c>
      <c r="AH39" s="18" t="n">
        <f aca="false">AD39-AE39-AF39-AG39</f>
        <v>-737.944318836781</v>
      </c>
      <c r="AI39" s="18" t="n">
        <f aca="false">AI38+AH39</f>
        <v>-32114.6610640842</v>
      </c>
      <c r="AJ39" s="18" t="n">
        <f aca="false">U39+AI39</f>
        <v>-47141.6976561703</v>
      </c>
      <c r="AK39" s="18" t="n">
        <f aca="false">AC39*Ipotesi!$B$37*Ipotesi!$B$20+IF(A39&gt;Ipotesi!$B$21,INDEX($AC$5:$AC$40,A39-Ipotesi!$B$21)*Ipotesi!$B$37*(1-Ipotesi!$B$20),0)+(AA39-AC39)*Ipotesi!$B$19</f>
        <v>783.09561047258</v>
      </c>
      <c r="AL39" s="18" t="n">
        <f aca="false">X39+SUM($AK$5:AK39)-SUM($AE$5:AE39)-SUM($AG$5:AG39)</f>
        <v>-5692.38893624115</v>
      </c>
      <c r="AM39" s="45" t="n">
        <f aca="false">IF(AJ39&gt;=0,A39,999)</f>
        <v>999</v>
      </c>
    </row>
    <row r="40" customFormat="false" ht="15" hidden="false" customHeight="false" outlineLevel="0" collapsed="false">
      <c r="A40" s="25" t="n">
        <v>36</v>
      </c>
      <c r="B40" s="45" t="n">
        <f aca="false">INT((A40-1)/12)+1</f>
        <v>3</v>
      </c>
      <c r="C40" s="45" t="n">
        <f aca="false">MOD(Ipotesi!$B$7-1+A40-1,12)+1</f>
        <v>10</v>
      </c>
      <c r="D40" s="46" t="n">
        <f aca="false">INDEX(Ipotesi!$B$58:$B$69,C40)</f>
        <v>1.1</v>
      </c>
      <c r="E40" s="45" t="n">
        <f aca="false">Ipotesi!$B$47*MIN(1,(A40/Ipotesi!$B$18)^2)*(1+Ipotesi!$B$48)^(MAX(0,A40-12)/12)*D40</f>
        <v>3437.5</v>
      </c>
      <c r="F40" s="20" t="n">
        <f aca="false">E40*Ipotesi!$B$49</f>
        <v>6.875</v>
      </c>
      <c r="G40" s="20" t="n">
        <f aca="false">F40*Ipotesi!$B$50</f>
        <v>2.40625</v>
      </c>
      <c r="H40" s="20" t="n">
        <f aca="false">G40*Ipotesi!$B$51</f>
        <v>1.3234375</v>
      </c>
      <c r="I40" s="20" t="n">
        <f aca="false">IF(A40&lt;=12,Ipotesi!$B$42,Ipotesi!$B$43)</f>
        <v>10.0418410041841</v>
      </c>
      <c r="J40" s="20" t="n">
        <f aca="false">MIN(H40,I40)</f>
        <v>1.3234375</v>
      </c>
      <c r="K40" s="20" t="n">
        <f aca="false">H40-J40</f>
        <v>0</v>
      </c>
      <c r="L40" s="18" t="n">
        <f aca="false">J40*Ipotesi!$B$37</f>
        <v>2693.1953125</v>
      </c>
      <c r="M40" s="18" t="n">
        <f aca="false">(G40-J40)*Ipotesi!$B$19</f>
        <v>108.28125</v>
      </c>
      <c r="N40" s="18" t="n">
        <f aca="false">IF(A40&gt;=Ipotesi!$B$26,Ipotesi!$B$52*Ipotesi!$B$25/12,0)</f>
        <v>0</v>
      </c>
      <c r="O40" s="18" t="n">
        <f aca="false">IF(A40&gt;=Ipotesi!$B$27,Ipotesi!$B$53,0)</f>
        <v>0</v>
      </c>
      <c r="P40" s="18" t="n">
        <f aca="false">SUM(L40:O40)</f>
        <v>2801.4765625</v>
      </c>
      <c r="Q40" s="18" t="n">
        <f aca="false">IF(A40=1,Ipotesi!$B$10+Ipotesi!$B$11,0)+Ipotesi!$B$8*Ipotesi!$B$9+Ipotesi!$B$12+Ipotesi!$B$13+Ipotesi!$B$16*52/12*Ipotesi!$B$17</f>
        <v>620</v>
      </c>
      <c r="R40" s="18" t="n">
        <f aca="false">Ipotesi!$B$14*52/12*Ipotesi!$B$15</f>
        <v>1040</v>
      </c>
      <c r="S40" s="18" t="n">
        <f aca="false">J40*IF(A40&lt;=12,Ipotesi!$B$38,Ipotesi!$B$39)*Ipotesi!$B$22</f>
        <v>711.678515625</v>
      </c>
      <c r="T40" s="18" t="n">
        <f aca="false">P40-Q40-R40-S40</f>
        <v>429.798046875</v>
      </c>
      <c r="U40" s="18" t="n">
        <f aca="false">U39+T40</f>
        <v>-14597.2385452111</v>
      </c>
      <c r="V40" s="18" t="n">
        <f aca="false">L40*Ipotesi!$B$20+IF(A40&gt;Ipotesi!$B$21,INDEX($L$5:$L$40,A40-Ipotesi!$B$21)*(1-Ipotesi!$B$20),0)+M40+N40+O40</f>
        <v>2768.80642525374</v>
      </c>
      <c r="W40" s="18" t="n">
        <f aca="false">V40-Q40-S40</f>
        <v>1437.12790962874</v>
      </c>
      <c r="X40" s="18" t="n">
        <f aca="false">X39+W40</f>
        <v>15827.5082815907</v>
      </c>
      <c r="Y40" s="45" t="n">
        <f aca="false">IF(U40&gt;=0,A40,999)</f>
        <v>999</v>
      </c>
      <c r="Z40" s="20" t="n">
        <f aca="false">F40*SUMPRODUCT((Social!$C$6:$C$11&lt;=A40)*Social!$B$6:$B$11*Social!$I$6:$I$11)</f>
        <v>2.0625</v>
      </c>
      <c r="AA40" s="20" t="n">
        <f aca="false">Z40*Ipotesi!$B$50</f>
        <v>0.721875</v>
      </c>
      <c r="AB40" s="20" t="n">
        <f aca="false">AA40*Ipotesi!$B$51</f>
        <v>0.39703125</v>
      </c>
      <c r="AC40" s="20" t="n">
        <f aca="false">MIN(AB40,MAX(0,I40-J40))</f>
        <v>0.39703125</v>
      </c>
      <c r="AD40" s="18" t="n">
        <f aca="false">AC40*Ipotesi!$B$37+(AA40-AC40)*Ipotesi!$B$19</f>
        <v>840.44296875</v>
      </c>
      <c r="AE40" s="18" t="n">
        <f aca="false">SUMPRODUCT((Social!$C$6:$C$11&lt;=A40)*Social!$J$6:$J$11)</f>
        <v>920</v>
      </c>
      <c r="AF40" s="18" t="n">
        <f aca="false">SUMPRODUCT((Social!$C$6:$C$11&lt;=A40)*Social!$K$6:$K$11)</f>
        <v>433.333333333333</v>
      </c>
      <c r="AG40" s="18" t="n">
        <f aca="false">AC40*IF(A40&lt;=12,Ipotesi!$B$38,Ipotesi!$B$39)*Ipotesi!$B$22</f>
        <v>213.5035546875</v>
      </c>
      <c r="AH40" s="18" t="n">
        <f aca="false">AD40-AE40-AF40-AG40</f>
        <v>-726.393919270833</v>
      </c>
      <c r="AI40" s="18" t="n">
        <f aca="false">AI39+AH40</f>
        <v>-32841.054983355</v>
      </c>
      <c r="AJ40" s="18" t="n">
        <f aca="false">U40+AI40</f>
        <v>-47438.2935285661</v>
      </c>
      <c r="AK40" s="18" t="n">
        <f aca="false">AC40*Ipotesi!$B$37*Ipotesi!$B$20+IF(A40&gt;Ipotesi!$B$21,INDEX($AC$5:$AC$40,A40-Ipotesi!$B$21)*Ipotesi!$B$37*(1-Ipotesi!$B$20),0)+(AA40-AC40)*Ipotesi!$B$19</f>
        <v>830.641927576121</v>
      </c>
      <c r="AL40" s="18" t="n">
        <f aca="false">X40+SUM($AK$5:AK40)-SUM($AE$5:AE40)-SUM($AG$5:AG40)</f>
        <v>-4558.12265372378</v>
      </c>
      <c r="AM40" s="45" t="n">
        <f aca="false">IF(AJ40&gt;=0,A40,999)</f>
        <v>999</v>
      </c>
    </row>
    <row r="41" customFormat="false" ht="15" hidden="false" customHeight="false" outlineLevel="0" collapsed="false">
      <c r="A41" s="33" t="s">
        <v>306</v>
      </c>
      <c r="B41" s="42"/>
      <c r="C41" s="42"/>
      <c r="D41" s="42"/>
      <c r="E41" s="47" t="n">
        <f aca="false">SUM(E5:E40)</f>
        <v>78654.874471487</v>
      </c>
      <c r="F41" s="36" t="n">
        <f aca="false">SUM(F5:F40)</f>
        <v>157.309748942974</v>
      </c>
      <c r="G41" s="36" t="n">
        <f aca="false">SUM(G5:G40)</f>
        <v>55.0584121300409</v>
      </c>
      <c r="H41" s="36" t="n">
        <f aca="false">SUM(H5:H40)</f>
        <v>30.2821266715225</v>
      </c>
      <c r="I41" s="42"/>
      <c r="J41" s="36" t="n">
        <f aca="false">SUM(J5:J40)</f>
        <v>30.2821266715225</v>
      </c>
      <c r="K41" s="36" t="n">
        <f aca="false">SUM(K5:K40)</f>
        <v>0</v>
      </c>
      <c r="L41" s="35" t="n">
        <f aca="false">SUM(L5:L40)</f>
        <v>61624.1277765483</v>
      </c>
      <c r="M41" s="35" t="n">
        <f aca="false">SUM(M5:M40)</f>
        <v>2477.62854585184</v>
      </c>
      <c r="N41" s="35" t="n">
        <f aca="false">SUM(N5:N40)</f>
        <v>0</v>
      </c>
      <c r="O41" s="35" t="n">
        <f aca="false">SUM(O5:O40)</f>
        <v>0</v>
      </c>
      <c r="P41" s="35" t="n">
        <f aca="false">SUM(P5:P40)</f>
        <v>64101.7563224001</v>
      </c>
      <c r="Q41" s="35" t="n">
        <f aca="false">SUM(Q5:Q40)</f>
        <v>24520</v>
      </c>
      <c r="R41" s="35" t="n">
        <f aca="false">SUM(R5:R40)</f>
        <v>37440</v>
      </c>
      <c r="S41" s="35" t="n">
        <f aca="false">SUM(S5:S40)</f>
        <v>16738.9948676112</v>
      </c>
      <c r="T41" s="35" t="n">
        <f aca="false">SUM(T5:T40)</f>
        <v>-14597.2385452111</v>
      </c>
      <c r="U41" s="42"/>
      <c r="V41" s="35" t="n">
        <f aca="false">SUM(V5:V40)</f>
        <v>57086.5031492019</v>
      </c>
      <c r="W41" s="35" t="n">
        <f aca="false">SUM(W5:W40)</f>
        <v>15827.5082815907</v>
      </c>
      <c r="X41" s="42"/>
      <c r="Y41" s="42"/>
      <c r="Z41" s="36" t="n">
        <f aca="false">SUM(Z5:Z40)</f>
        <v>47.1245913495589</v>
      </c>
      <c r="AA41" s="36" t="n">
        <f aca="false">SUM(AA5:AA40)</f>
        <v>16.4936069723456</v>
      </c>
      <c r="AB41" s="36" t="n">
        <f aca="false">SUM(AB5:AB40)</f>
        <v>9.07148383479008</v>
      </c>
      <c r="AC41" s="36" t="n">
        <f aca="false">SUM(AC5:AC40)</f>
        <v>9.07148383479008</v>
      </c>
      <c r="AD41" s="35" t="n">
        <f aca="false">SUM(AD5:AD40)</f>
        <v>19202.6819175534</v>
      </c>
      <c r="AE41" s="35" t="n">
        <f aca="false">SUM(AE5:AE40)</f>
        <v>32470</v>
      </c>
      <c r="AF41" s="35" t="n">
        <f aca="false">SUM(AF5:AF40)</f>
        <v>14560</v>
      </c>
      <c r="AG41" s="35" t="n">
        <f aca="false">SUM(AG5:AG40)</f>
        <v>5013.73690090837</v>
      </c>
      <c r="AH41" s="35" t="n">
        <f aca="false">SUM(AH5:AH40)</f>
        <v>-32841.054983355</v>
      </c>
      <c r="AI41" s="42"/>
      <c r="AJ41" s="42"/>
      <c r="AK41" s="35" t="n">
        <f aca="false">SUM(AK5:AK40)</f>
        <v>17098.1059655939</v>
      </c>
      <c r="AL41" s="42"/>
      <c r="AM41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5" min="13" style="0" width="13"/>
    <col collapsed="false" customWidth="true" hidden="false" outlineLevel="0" max="18" min="16" style="0" width="14"/>
    <col collapsed="false" customWidth="true" hidden="false" outlineLevel="0" max="19" min="19" style="0" width="15"/>
    <col collapsed="false" customWidth="true" hidden="false" outlineLevel="0" max="21" min="20" style="0" width="14"/>
    <col collapsed="false" customWidth="true" hidden="false" outlineLevel="0" max="23" min="22" style="0" width="13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9" min="26" style="0" width="12"/>
    <col collapsed="false" customWidth="true" hidden="false" outlineLevel="0" max="30" min="30" style="0" width="14"/>
    <col collapsed="false" customWidth="true" hidden="false" outlineLevel="0" max="32" min="31" style="0" width="13"/>
    <col collapsed="false" customWidth="true" hidden="false" outlineLevel="0" max="35" min="33" style="0" width="14"/>
    <col collapsed="false" customWidth="true" hidden="false" outlineLevel="0" max="36" min="36" style="0" width="15"/>
    <col collapsed="false" customWidth="true" hidden="false" outlineLevel="0" max="37" min="37" style="0" width="14"/>
    <col collapsed="false" customWidth="true" hidden="false" outlineLevel="0" max="38" min="38" style="0" width="15"/>
    <col collapsed="false" customWidth="true" hidden="false" outlineLevel="0" max="39" min="39" style="0" width="11"/>
  </cols>
  <sheetData>
    <row r="1" customFormat="false" ht="17.35" hidden="false" customHeight="false" outlineLevel="0" collapsed="false">
      <c r="A1" s="1" t="s">
        <v>307</v>
      </c>
    </row>
    <row r="2" customFormat="false" ht="15" hidden="false" customHeight="false" outlineLevel="0" collapsed="false">
      <c r="A2" s="2" t="s">
        <v>278</v>
      </c>
    </row>
    <row r="4" customFormat="false" ht="42" hidden="false" customHeight="true" outlineLevel="0" collapsed="false">
      <c r="A4" s="10" t="s">
        <v>104</v>
      </c>
      <c r="B4" s="10" t="s">
        <v>279</v>
      </c>
      <c r="C4" s="10" t="s">
        <v>280</v>
      </c>
      <c r="D4" s="10" t="s">
        <v>281</v>
      </c>
      <c r="E4" s="10" t="s">
        <v>74</v>
      </c>
      <c r="F4" s="10" t="s">
        <v>75</v>
      </c>
      <c r="G4" s="10" t="s">
        <v>76</v>
      </c>
      <c r="H4" s="10" t="s">
        <v>282</v>
      </c>
      <c r="I4" s="10" t="s">
        <v>283</v>
      </c>
      <c r="J4" s="10" t="s">
        <v>49</v>
      </c>
      <c r="K4" s="10" t="s">
        <v>77</v>
      </c>
      <c r="L4" s="10" t="s">
        <v>284</v>
      </c>
      <c r="M4" s="10" t="s">
        <v>285</v>
      </c>
      <c r="N4" s="10" t="s">
        <v>286</v>
      </c>
      <c r="O4" s="10" t="s">
        <v>287</v>
      </c>
      <c r="P4" s="10" t="s">
        <v>78</v>
      </c>
      <c r="Q4" s="10" t="s">
        <v>79</v>
      </c>
      <c r="R4" s="10" t="s">
        <v>288</v>
      </c>
      <c r="S4" s="10" t="s">
        <v>81</v>
      </c>
      <c r="T4" s="10" t="s">
        <v>82</v>
      </c>
      <c r="U4" s="10" t="s">
        <v>289</v>
      </c>
      <c r="V4" s="10" t="s">
        <v>83</v>
      </c>
      <c r="W4" s="10" t="s">
        <v>84</v>
      </c>
      <c r="X4" s="10" t="s">
        <v>290</v>
      </c>
      <c r="Y4" s="44" t="s">
        <v>291</v>
      </c>
      <c r="Z4" s="10" t="s">
        <v>292</v>
      </c>
      <c r="AA4" s="10" t="s">
        <v>293</v>
      </c>
      <c r="AB4" s="10" t="s">
        <v>294</v>
      </c>
      <c r="AC4" s="10" t="s">
        <v>295</v>
      </c>
      <c r="AD4" s="10" t="s">
        <v>296</v>
      </c>
      <c r="AE4" s="10" t="s">
        <v>297</v>
      </c>
      <c r="AF4" s="10" t="s">
        <v>298</v>
      </c>
      <c r="AG4" s="10" t="s">
        <v>299</v>
      </c>
      <c r="AH4" s="10" t="s">
        <v>300</v>
      </c>
      <c r="AI4" s="10" t="s">
        <v>301</v>
      </c>
      <c r="AJ4" s="10" t="s">
        <v>302</v>
      </c>
      <c r="AK4" s="10" t="s">
        <v>303</v>
      </c>
      <c r="AL4" s="10" t="s">
        <v>304</v>
      </c>
      <c r="AM4" s="44" t="s">
        <v>305</v>
      </c>
    </row>
    <row r="5" customFormat="false" ht="15" hidden="false" customHeight="false" outlineLevel="0" collapsed="false">
      <c r="A5" s="25" t="n">
        <v>1</v>
      </c>
      <c r="B5" s="45" t="n">
        <f aca="false">INT((A5-1)/12)+1</f>
        <v>1</v>
      </c>
      <c r="C5" s="45" t="n">
        <f aca="false">MOD(Ipotesi!$B$7-1+A5-1,12)+1</f>
        <v>11</v>
      </c>
      <c r="D5" s="46" t="n">
        <f aca="false">INDEX(Ipotesi!$B$58:$B$69,C5)</f>
        <v>1</v>
      </c>
      <c r="E5" s="45" t="n">
        <f aca="false">Ipotesi!$C$47*MIN(1,(A5/Ipotesi!$B$18)^2)*(1+Ipotesi!$C$48)^(MAX(0,A5-12)/12)*D5</f>
        <v>166.666666666667</v>
      </c>
      <c r="F5" s="20" t="n">
        <f aca="false">E5*Ipotesi!$C$49</f>
        <v>0.5</v>
      </c>
      <c r="G5" s="20" t="n">
        <f aca="false">F5*Ipotesi!$C$50</f>
        <v>0.2</v>
      </c>
      <c r="H5" s="20" t="n">
        <f aca="false">G5*Ipotesi!$C$51</f>
        <v>0.12</v>
      </c>
      <c r="I5" s="20" t="n">
        <f aca="false">IF(A5&lt;=12,Ipotesi!$B$42,Ipotesi!$B$43)</f>
        <v>8.92193308550186</v>
      </c>
      <c r="J5" s="20" t="n">
        <f aca="false">MIN(H5,I5)</f>
        <v>0.12</v>
      </c>
      <c r="K5" s="20" t="n">
        <f aca="false">H5-J5</f>
        <v>0</v>
      </c>
      <c r="L5" s="18" t="n">
        <f aca="false">J5*Ipotesi!$B$37</f>
        <v>244.2</v>
      </c>
      <c r="M5" s="18" t="n">
        <f aca="false">(G5-J5)*Ipotesi!$B$19</f>
        <v>8</v>
      </c>
      <c r="N5" s="18" t="n">
        <f aca="false">IF(A5&gt;=Ipotesi!$B$26,Ipotesi!$C$52*Ipotesi!$B$25/12,0)</f>
        <v>0</v>
      </c>
      <c r="O5" s="18" t="n">
        <f aca="false">IF(A5&gt;=Ipotesi!$B$27,Ipotesi!$C$53,0)</f>
        <v>0</v>
      </c>
      <c r="P5" s="18" t="n">
        <f aca="false">SUM(L5:O5)</f>
        <v>252.2</v>
      </c>
      <c r="Q5" s="18" t="n">
        <f aca="false">IF(A5=1,Ipotesi!$B$10+Ipotesi!$B$11,0)+Ipotesi!$B$8*Ipotesi!$B$9+Ipotesi!$B$12+Ipotesi!$B$13+Ipotesi!$B$16*52/12*Ipotesi!$B$17</f>
        <v>2820</v>
      </c>
      <c r="R5" s="18" t="n">
        <f aca="false">Ipotesi!$B$14*52/12*Ipotesi!$B$15</f>
        <v>1040</v>
      </c>
      <c r="S5" s="18" t="n">
        <f aca="false">J5*IF(A5&lt;=12,Ipotesi!$B$38,Ipotesi!$B$39)*Ipotesi!$B$22</f>
        <v>72.63</v>
      </c>
      <c r="T5" s="18" t="n">
        <f aca="false">P5-Q5-R5-S5</f>
        <v>-3680.43</v>
      </c>
      <c r="U5" s="18" t="n">
        <f aca="false">T5</f>
        <v>-3680.43</v>
      </c>
      <c r="V5" s="18" t="n">
        <f aca="false">L5*Ipotesi!$B$20+IF(A5&gt;Ipotesi!$B$21,INDEX($L$5:$L$40,A5-Ipotesi!$B$21)*(1-Ipotesi!$B$20),0)+M5+N5+O5</f>
        <v>130.1</v>
      </c>
      <c r="W5" s="18" t="n">
        <f aca="false">V5-Q5-S5</f>
        <v>-2762.53</v>
      </c>
      <c r="X5" s="18" t="n">
        <f aca="false">W5</f>
        <v>-2762.53</v>
      </c>
      <c r="Y5" s="45" t="n">
        <f aca="false">IF(U5&gt;=0,A5,999)</f>
        <v>999</v>
      </c>
      <c r="Z5" s="20" t="n">
        <f aca="false">F5*SUMPRODUCT((Social!$C$6:$C$11&lt;=A5)*Social!$B$6:$B$11*Social!$I$6:$I$11)</f>
        <v>0.125</v>
      </c>
      <c r="AA5" s="20" t="n">
        <f aca="false">Z5*Ipotesi!$C$50</f>
        <v>0.05</v>
      </c>
      <c r="AB5" s="20" t="n">
        <f aca="false">AA5*Ipotesi!$C$51</f>
        <v>0.03</v>
      </c>
      <c r="AC5" s="20" t="n">
        <f aca="false">MIN(AB5,MAX(0,I5-J5))</f>
        <v>0.03</v>
      </c>
      <c r="AD5" s="18" t="n">
        <f aca="false">AC5*Ipotesi!$B$37+(AA5-AC5)*Ipotesi!$B$19</f>
        <v>63.05</v>
      </c>
      <c r="AE5" s="18" t="n">
        <f aca="false">SUMPRODUCT((Social!$C$6:$C$11&lt;=A5)*Social!$J$6:$J$11)</f>
        <v>703.333333333333</v>
      </c>
      <c r="AF5" s="18" t="n">
        <f aca="false">SUMPRODUCT((Social!$C$6:$C$11&lt;=A5)*Social!$K$6:$K$11)</f>
        <v>86.6666666666667</v>
      </c>
      <c r="AG5" s="18" t="n">
        <f aca="false">AC5*IF(A5&lt;=12,Ipotesi!$B$38,Ipotesi!$B$39)*Ipotesi!$B$22</f>
        <v>18.1575</v>
      </c>
      <c r="AH5" s="18" t="n">
        <f aca="false">AD5-AE5-AF5-AG5</f>
        <v>-745.1075</v>
      </c>
      <c r="AI5" s="18" t="n">
        <f aca="false">AH5</f>
        <v>-745.1075</v>
      </c>
      <c r="AJ5" s="18" t="n">
        <f aca="false">U5+AI5</f>
        <v>-4425.5375</v>
      </c>
      <c r="AK5" s="18" t="n">
        <f aca="false">AC5*Ipotesi!$B$37*Ipotesi!$B$20+IF(A5&gt;Ipotesi!$B$21,INDEX($AC$5:$AC$40,A5-Ipotesi!$B$21)*Ipotesi!$B$37*(1-Ipotesi!$B$20),0)+(AA5-AC5)*Ipotesi!$B$19</f>
        <v>32.525</v>
      </c>
      <c r="AL5" s="18" t="n">
        <f aca="false">X5+SUM($AK$5:AK5)-SUM($AE$5:AE5)-SUM($AG$5:AG5)</f>
        <v>-3451.49583333333</v>
      </c>
      <c r="AM5" s="45" t="n">
        <f aca="false">IF(AJ5&gt;=0,A5,999)</f>
        <v>999</v>
      </c>
    </row>
    <row r="6" customFormat="false" ht="15" hidden="false" customHeight="false" outlineLevel="0" collapsed="false">
      <c r="A6" s="25" t="n">
        <v>2</v>
      </c>
      <c r="B6" s="45" t="n">
        <f aca="false">INT((A6-1)/12)+1</f>
        <v>1</v>
      </c>
      <c r="C6" s="45" t="n">
        <f aca="false">MOD(Ipotesi!$B$7-1+A6-1,12)+1</f>
        <v>12</v>
      </c>
      <c r="D6" s="46" t="n">
        <f aca="false">INDEX(Ipotesi!$B$58:$B$69,C6)</f>
        <v>0.8</v>
      </c>
      <c r="E6" s="45" t="n">
        <f aca="false">Ipotesi!$C$47*MIN(1,(A6/Ipotesi!$B$18)^2)*(1+Ipotesi!$C$48)^(MAX(0,A6-12)/12)*D6</f>
        <v>533.333333333333</v>
      </c>
      <c r="F6" s="20" t="n">
        <f aca="false">E6*Ipotesi!$C$49</f>
        <v>1.6</v>
      </c>
      <c r="G6" s="20" t="n">
        <f aca="false">F6*Ipotesi!$C$50</f>
        <v>0.64</v>
      </c>
      <c r="H6" s="20" t="n">
        <f aca="false">G6*Ipotesi!$C$51</f>
        <v>0.384</v>
      </c>
      <c r="I6" s="20" t="n">
        <f aca="false">IF(A6&lt;=12,Ipotesi!$B$42,Ipotesi!$B$43)</f>
        <v>8.92193308550186</v>
      </c>
      <c r="J6" s="20" t="n">
        <f aca="false">MIN(H6,I6)</f>
        <v>0.384</v>
      </c>
      <c r="K6" s="20" t="n">
        <f aca="false">H6-J6</f>
        <v>0</v>
      </c>
      <c r="L6" s="18" t="n">
        <f aca="false">J6*Ipotesi!$B$37</f>
        <v>781.44</v>
      </c>
      <c r="M6" s="18" t="n">
        <f aca="false">(G6-J6)*Ipotesi!$B$19</f>
        <v>25.6</v>
      </c>
      <c r="N6" s="18" t="n">
        <f aca="false">IF(A6&gt;=Ipotesi!$B$26,Ipotesi!$C$52*Ipotesi!$B$25/12,0)</f>
        <v>0</v>
      </c>
      <c r="O6" s="18" t="n">
        <f aca="false">IF(A6&gt;=Ipotesi!$B$27,Ipotesi!$C$53,0)</f>
        <v>0</v>
      </c>
      <c r="P6" s="18" t="n">
        <f aca="false">SUM(L6:O6)</f>
        <v>807.04</v>
      </c>
      <c r="Q6" s="18" t="n">
        <f aca="false">IF(A6=1,Ipotesi!$B$10+Ipotesi!$B$11,0)+Ipotesi!$B$8*Ipotesi!$B$9+Ipotesi!$B$12+Ipotesi!$B$13+Ipotesi!$B$16*52/12*Ipotesi!$B$17</f>
        <v>620</v>
      </c>
      <c r="R6" s="18" t="n">
        <f aca="false">Ipotesi!$B$14*52/12*Ipotesi!$B$15</f>
        <v>1040</v>
      </c>
      <c r="S6" s="18" t="n">
        <f aca="false">J6*IF(A6&lt;=12,Ipotesi!$B$38,Ipotesi!$B$39)*Ipotesi!$B$22</f>
        <v>232.416</v>
      </c>
      <c r="T6" s="18" t="n">
        <f aca="false">P6-Q6-R6-S6</f>
        <v>-1085.376</v>
      </c>
      <c r="U6" s="18" t="n">
        <f aca="false">U5+T6</f>
        <v>-4765.806</v>
      </c>
      <c r="V6" s="18" t="n">
        <f aca="false">L6*Ipotesi!$B$20+IF(A6&gt;Ipotesi!$B$21,INDEX($L$5:$L$40,A6-Ipotesi!$B$21)*(1-Ipotesi!$B$20),0)+M6+N6+O6</f>
        <v>416.32</v>
      </c>
      <c r="W6" s="18" t="n">
        <f aca="false">V6-Q6-S6</f>
        <v>-436.096</v>
      </c>
      <c r="X6" s="18" t="n">
        <f aca="false">X5+W6</f>
        <v>-3198.626</v>
      </c>
      <c r="Y6" s="45" t="n">
        <f aca="false">IF(U6&gt;=0,A6,999)</f>
        <v>999</v>
      </c>
      <c r="Z6" s="20" t="n">
        <f aca="false">F6*SUMPRODUCT((Social!$C$6:$C$11&lt;=A6)*Social!$B$6:$B$11*Social!$I$6:$I$11)</f>
        <v>0.4</v>
      </c>
      <c r="AA6" s="20" t="n">
        <f aca="false">Z6*Ipotesi!$C$50</f>
        <v>0.16</v>
      </c>
      <c r="AB6" s="20" t="n">
        <f aca="false">AA6*Ipotesi!$C$51</f>
        <v>0.096</v>
      </c>
      <c r="AC6" s="20" t="n">
        <f aca="false">MIN(AB6,MAX(0,I6-J6))</f>
        <v>0.096</v>
      </c>
      <c r="AD6" s="18" t="n">
        <f aca="false">AC6*Ipotesi!$B$37+(AA6-AC6)*Ipotesi!$B$19</f>
        <v>201.76</v>
      </c>
      <c r="AE6" s="18" t="n">
        <f aca="false">SUMPRODUCT((Social!$C$6:$C$11&lt;=A6)*Social!$J$6:$J$11)</f>
        <v>703.333333333333</v>
      </c>
      <c r="AF6" s="18" t="n">
        <f aca="false">SUMPRODUCT((Social!$C$6:$C$11&lt;=A6)*Social!$K$6:$K$11)</f>
        <v>86.6666666666667</v>
      </c>
      <c r="AG6" s="18" t="n">
        <f aca="false">AC6*IF(A6&lt;=12,Ipotesi!$B$38,Ipotesi!$B$39)*Ipotesi!$B$22</f>
        <v>58.104</v>
      </c>
      <c r="AH6" s="18" t="n">
        <f aca="false">AD6-AE6-AF6-AG6</f>
        <v>-646.344</v>
      </c>
      <c r="AI6" s="18" t="n">
        <f aca="false">AI5+AH6</f>
        <v>-1391.4515</v>
      </c>
      <c r="AJ6" s="18" t="n">
        <f aca="false">U6+AI6</f>
        <v>-6157.2575</v>
      </c>
      <c r="AK6" s="18" t="n">
        <f aca="false">AC6*Ipotesi!$B$37*Ipotesi!$B$20+IF(A6&gt;Ipotesi!$B$21,INDEX($AC$5:$AC$40,A6-Ipotesi!$B$21)*Ipotesi!$B$37*(1-Ipotesi!$B$20),0)+(AA6-AC6)*Ipotesi!$B$19</f>
        <v>104.08</v>
      </c>
      <c r="AL6" s="18" t="n">
        <f aca="false">X6+SUM($AK$5:AK6)-SUM($AE$5:AE6)-SUM($AG$5:AG6)</f>
        <v>-4544.94916666667</v>
      </c>
      <c r="AM6" s="45" t="n">
        <f aca="false">IF(AJ6&gt;=0,A6,999)</f>
        <v>999</v>
      </c>
    </row>
    <row r="7" customFormat="false" ht="15" hidden="false" customHeight="false" outlineLevel="0" collapsed="false">
      <c r="A7" s="25" t="n">
        <v>3</v>
      </c>
      <c r="B7" s="45" t="n">
        <f aca="false">INT((A7-1)/12)+1</f>
        <v>1</v>
      </c>
      <c r="C7" s="45" t="n">
        <f aca="false">MOD(Ipotesi!$B$7-1+A7-1,12)+1</f>
        <v>1</v>
      </c>
      <c r="D7" s="46" t="n">
        <f aca="false">INDEX(Ipotesi!$B$58:$B$69,C7)</f>
        <v>0.9</v>
      </c>
      <c r="E7" s="45" t="n">
        <f aca="false">Ipotesi!$C$47*MIN(1,(A7/Ipotesi!$B$18)^2)*(1+Ipotesi!$C$48)^(MAX(0,A7-12)/12)*D7</f>
        <v>1350</v>
      </c>
      <c r="F7" s="20" t="n">
        <f aca="false">E7*Ipotesi!$C$49</f>
        <v>4.05</v>
      </c>
      <c r="G7" s="20" t="n">
        <f aca="false">F7*Ipotesi!$C$50</f>
        <v>1.62</v>
      </c>
      <c r="H7" s="20" t="n">
        <f aca="false">G7*Ipotesi!$C$51</f>
        <v>0.972</v>
      </c>
      <c r="I7" s="20" t="n">
        <f aca="false">IF(A7&lt;=12,Ipotesi!$B$42,Ipotesi!$B$43)</f>
        <v>8.92193308550186</v>
      </c>
      <c r="J7" s="20" t="n">
        <f aca="false">MIN(H7,I7)</f>
        <v>0.972</v>
      </c>
      <c r="K7" s="20" t="n">
        <f aca="false">H7-J7</f>
        <v>0</v>
      </c>
      <c r="L7" s="18" t="n">
        <f aca="false">J7*Ipotesi!$B$37</f>
        <v>1978.02</v>
      </c>
      <c r="M7" s="18" t="n">
        <f aca="false">(G7-J7)*Ipotesi!$B$19</f>
        <v>64.8</v>
      </c>
      <c r="N7" s="18" t="n">
        <f aca="false">IF(A7&gt;=Ipotesi!$B$26,Ipotesi!$C$52*Ipotesi!$B$25/12,0)</f>
        <v>0</v>
      </c>
      <c r="O7" s="18" t="n">
        <f aca="false">IF(A7&gt;=Ipotesi!$B$27,Ipotesi!$C$53,0)</f>
        <v>0</v>
      </c>
      <c r="P7" s="18" t="n">
        <f aca="false">SUM(L7:O7)</f>
        <v>2042.82</v>
      </c>
      <c r="Q7" s="18" t="n">
        <f aca="false">IF(A7=1,Ipotesi!$B$10+Ipotesi!$B$11,0)+Ipotesi!$B$8*Ipotesi!$B$9+Ipotesi!$B$12+Ipotesi!$B$13+Ipotesi!$B$16*52/12*Ipotesi!$B$17</f>
        <v>620</v>
      </c>
      <c r="R7" s="18" t="n">
        <f aca="false">Ipotesi!$B$14*52/12*Ipotesi!$B$15</f>
        <v>1040</v>
      </c>
      <c r="S7" s="18" t="n">
        <f aca="false">J7*IF(A7&lt;=12,Ipotesi!$B$38,Ipotesi!$B$39)*Ipotesi!$B$22</f>
        <v>588.303</v>
      </c>
      <c r="T7" s="18" t="n">
        <f aca="false">P7-Q7-R7-S7</f>
        <v>-205.483</v>
      </c>
      <c r="U7" s="18" t="n">
        <f aca="false">U6+T7</f>
        <v>-4971.289</v>
      </c>
      <c r="V7" s="18" t="n">
        <f aca="false">L7*Ipotesi!$B$20+IF(A7&gt;Ipotesi!$B$21,INDEX($L$5:$L$40,A7-Ipotesi!$B$21)*(1-Ipotesi!$B$20),0)+M7+N7+O7</f>
        <v>1053.81</v>
      </c>
      <c r="W7" s="18" t="n">
        <f aca="false">V7-Q7-S7</f>
        <v>-154.493</v>
      </c>
      <c r="X7" s="18" t="n">
        <f aca="false">X6+W7</f>
        <v>-3353.119</v>
      </c>
      <c r="Y7" s="45" t="n">
        <f aca="false">IF(U7&gt;=0,A7,999)</f>
        <v>999</v>
      </c>
      <c r="Z7" s="20" t="n">
        <f aca="false">F7*SUMPRODUCT((Social!$C$6:$C$11&lt;=A7)*Social!$B$6:$B$11*Social!$I$6:$I$11)</f>
        <v>1.0125</v>
      </c>
      <c r="AA7" s="20" t="n">
        <f aca="false">Z7*Ipotesi!$C$50</f>
        <v>0.405</v>
      </c>
      <c r="AB7" s="20" t="n">
        <f aca="false">AA7*Ipotesi!$C$51</f>
        <v>0.243</v>
      </c>
      <c r="AC7" s="20" t="n">
        <f aca="false">MIN(AB7,MAX(0,I7-J7))</f>
        <v>0.243</v>
      </c>
      <c r="AD7" s="18" t="n">
        <f aca="false">AC7*Ipotesi!$B$37+(AA7-AC7)*Ipotesi!$B$19</f>
        <v>510.705</v>
      </c>
      <c r="AE7" s="18" t="n">
        <f aca="false">SUMPRODUCT((Social!$C$6:$C$11&lt;=A7)*Social!$J$6:$J$11)</f>
        <v>703.333333333333</v>
      </c>
      <c r="AF7" s="18" t="n">
        <f aca="false">SUMPRODUCT((Social!$C$6:$C$11&lt;=A7)*Social!$K$6:$K$11)</f>
        <v>86.6666666666667</v>
      </c>
      <c r="AG7" s="18" t="n">
        <f aca="false">AC7*IF(A7&lt;=12,Ipotesi!$B$38,Ipotesi!$B$39)*Ipotesi!$B$22</f>
        <v>147.07575</v>
      </c>
      <c r="AH7" s="18" t="n">
        <f aca="false">AD7-AE7-AF7-AG7</f>
        <v>-426.37075</v>
      </c>
      <c r="AI7" s="18" t="n">
        <f aca="false">AI6+AH7</f>
        <v>-1817.82225</v>
      </c>
      <c r="AJ7" s="18" t="n">
        <f aca="false">U7+AI7</f>
        <v>-6789.11125</v>
      </c>
      <c r="AK7" s="18" t="n">
        <f aca="false">AC7*Ipotesi!$B$37*Ipotesi!$B$20+IF(A7&gt;Ipotesi!$B$21,INDEX($AC$5:$AC$40,A7-Ipotesi!$B$21)*Ipotesi!$B$37*(1-Ipotesi!$B$20),0)+(AA7-AC7)*Ipotesi!$B$19</f>
        <v>263.4525</v>
      </c>
      <c r="AL7" s="18" t="n">
        <f aca="false">X7+SUM($AK$5:AK7)-SUM($AE$5:AE7)-SUM($AG$5:AG7)</f>
        <v>-5286.39875</v>
      </c>
      <c r="AM7" s="45" t="n">
        <f aca="false">IF(AJ7&gt;=0,A7,999)</f>
        <v>999</v>
      </c>
    </row>
    <row r="8" customFormat="false" ht="15" hidden="false" customHeight="false" outlineLevel="0" collapsed="false">
      <c r="A8" s="25" t="n">
        <v>4</v>
      </c>
      <c r="B8" s="45" t="n">
        <f aca="false">INT((A8-1)/12)+1</f>
        <v>1</v>
      </c>
      <c r="C8" s="45" t="n">
        <f aca="false">MOD(Ipotesi!$B$7-1+A8-1,12)+1</f>
        <v>2</v>
      </c>
      <c r="D8" s="46" t="n">
        <f aca="false">INDEX(Ipotesi!$B$58:$B$69,C8)</f>
        <v>1</v>
      </c>
      <c r="E8" s="45" t="n">
        <f aca="false">Ipotesi!$C$47*MIN(1,(A8/Ipotesi!$B$18)^2)*(1+Ipotesi!$C$48)^(MAX(0,A8-12)/12)*D8</f>
        <v>2666.66666666667</v>
      </c>
      <c r="F8" s="20" t="n">
        <f aca="false">E8*Ipotesi!$C$49</f>
        <v>8</v>
      </c>
      <c r="G8" s="20" t="n">
        <f aca="false">F8*Ipotesi!$C$50</f>
        <v>3.2</v>
      </c>
      <c r="H8" s="20" t="n">
        <f aca="false">G8*Ipotesi!$C$51</f>
        <v>1.92</v>
      </c>
      <c r="I8" s="20" t="n">
        <f aca="false">IF(A8&lt;=12,Ipotesi!$B$42,Ipotesi!$B$43)</f>
        <v>8.92193308550186</v>
      </c>
      <c r="J8" s="20" t="n">
        <f aca="false">MIN(H8,I8)</f>
        <v>1.92</v>
      </c>
      <c r="K8" s="20" t="n">
        <f aca="false">H8-J8</f>
        <v>0</v>
      </c>
      <c r="L8" s="18" t="n">
        <f aca="false">J8*Ipotesi!$B$37</f>
        <v>3907.2</v>
      </c>
      <c r="M8" s="18" t="n">
        <f aca="false">(G8-J8)*Ipotesi!$B$19</f>
        <v>128</v>
      </c>
      <c r="N8" s="18" t="n">
        <f aca="false">IF(A8&gt;=Ipotesi!$B$26,Ipotesi!$C$52*Ipotesi!$B$25/12,0)</f>
        <v>0</v>
      </c>
      <c r="O8" s="18" t="n">
        <f aca="false">IF(A8&gt;=Ipotesi!$B$27,Ipotesi!$C$53,0)</f>
        <v>0</v>
      </c>
      <c r="P8" s="18" t="n">
        <f aca="false">SUM(L8:O8)</f>
        <v>4035.2</v>
      </c>
      <c r="Q8" s="18" t="n">
        <f aca="false">IF(A8=1,Ipotesi!$B$10+Ipotesi!$B$11,0)+Ipotesi!$B$8*Ipotesi!$B$9+Ipotesi!$B$12+Ipotesi!$B$13+Ipotesi!$B$16*52/12*Ipotesi!$B$17</f>
        <v>620</v>
      </c>
      <c r="R8" s="18" t="n">
        <f aca="false">Ipotesi!$B$14*52/12*Ipotesi!$B$15</f>
        <v>1040</v>
      </c>
      <c r="S8" s="18" t="n">
        <f aca="false">J8*IF(A8&lt;=12,Ipotesi!$B$38,Ipotesi!$B$39)*Ipotesi!$B$22</f>
        <v>1162.08</v>
      </c>
      <c r="T8" s="18" t="n">
        <f aca="false">P8-Q8-R8-S8</f>
        <v>1213.12</v>
      </c>
      <c r="U8" s="18" t="n">
        <f aca="false">U7+T8</f>
        <v>-3758.169</v>
      </c>
      <c r="V8" s="18" t="n">
        <f aca="false">L8*Ipotesi!$B$20+IF(A8&gt;Ipotesi!$B$21,INDEX($L$5:$L$40,A8-Ipotesi!$B$21)*(1-Ipotesi!$B$20),0)+M8+N8+O8</f>
        <v>2081.6</v>
      </c>
      <c r="W8" s="18" t="n">
        <f aca="false">V8-Q8-S8</f>
        <v>299.52</v>
      </c>
      <c r="X8" s="18" t="n">
        <f aca="false">X7+W8</f>
        <v>-3053.599</v>
      </c>
      <c r="Y8" s="45" t="n">
        <f aca="false">IF(U8&gt;=0,A8,999)</f>
        <v>999</v>
      </c>
      <c r="Z8" s="20" t="n">
        <f aca="false">F8*SUMPRODUCT((Social!$C$6:$C$11&lt;=A8)*Social!$B$6:$B$11*Social!$I$6:$I$11)</f>
        <v>2.4</v>
      </c>
      <c r="AA8" s="20" t="n">
        <f aca="false">Z8*Ipotesi!$C$50</f>
        <v>0.96</v>
      </c>
      <c r="AB8" s="20" t="n">
        <f aca="false">AA8*Ipotesi!$C$51</f>
        <v>0.576</v>
      </c>
      <c r="AC8" s="20" t="n">
        <f aca="false">MIN(AB8,MAX(0,I8-J8))</f>
        <v>0.576</v>
      </c>
      <c r="AD8" s="18" t="n">
        <f aca="false">AC8*Ipotesi!$B$37+(AA8-AC8)*Ipotesi!$B$19</f>
        <v>1210.56</v>
      </c>
      <c r="AE8" s="18" t="n">
        <f aca="false">SUMPRODUCT((Social!$C$6:$C$11&lt;=A8)*Social!$J$6:$J$11)</f>
        <v>920</v>
      </c>
      <c r="AF8" s="18" t="n">
        <f aca="false">SUMPRODUCT((Social!$C$6:$C$11&lt;=A8)*Social!$K$6:$K$11)</f>
        <v>433.333333333333</v>
      </c>
      <c r="AG8" s="18" t="n">
        <f aca="false">AC8*IF(A8&lt;=12,Ipotesi!$B$38,Ipotesi!$B$39)*Ipotesi!$B$22</f>
        <v>348.624</v>
      </c>
      <c r="AH8" s="18" t="n">
        <f aca="false">AD8-AE8-AF8-AG8</f>
        <v>-491.397333333333</v>
      </c>
      <c r="AI8" s="18" t="n">
        <f aca="false">AI7+AH8</f>
        <v>-2309.21958333333</v>
      </c>
      <c r="AJ8" s="18" t="n">
        <f aca="false">U8+AI8</f>
        <v>-6067.38858333333</v>
      </c>
      <c r="AK8" s="18" t="n">
        <f aca="false">AC8*Ipotesi!$B$37*Ipotesi!$B$20+IF(A8&gt;Ipotesi!$B$21,INDEX($AC$5:$AC$40,A8-Ipotesi!$B$21)*Ipotesi!$B$37*(1-Ipotesi!$B$20),0)+(AA8-AC8)*Ipotesi!$B$19</f>
        <v>624.48</v>
      </c>
      <c r="AL8" s="18" t="n">
        <f aca="false">X8+SUM($AK$5:AK8)-SUM($AE$5:AE8)-SUM($AG$5:AG8)</f>
        <v>-5631.02275</v>
      </c>
      <c r="AM8" s="45" t="n">
        <f aca="false">IF(AJ8&gt;=0,A8,999)</f>
        <v>999</v>
      </c>
    </row>
    <row r="9" customFormat="false" ht="15" hidden="false" customHeight="false" outlineLevel="0" collapsed="false">
      <c r="A9" s="25" t="n">
        <v>5</v>
      </c>
      <c r="B9" s="45" t="n">
        <f aca="false">INT((A9-1)/12)+1</f>
        <v>1</v>
      </c>
      <c r="C9" s="45" t="n">
        <f aca="false">MOD(Ipotesi!$B$7-1+A9-1,12)+1</f>
        <v>3</v>
      </c>
      <c r="D9" s="46" t="n">
        <f aca="false">INDEX(Ipotesi!$B$58:$B$69,C9)</f>
        <v>1.1</v>
      </c>
      <c r="E9" s="45" t="n">
        <f aca="false">Ipotesi!$C$47*MIN(1,(A9/Ipotesi!$B$18)^2)*(1+Ipotesi!$C$48)^(MAX(0,A9-12)/12)*D9</f>
        <v>4583.33333333333</v>
      </c>
      <c r="F9" s="20" t="n">
        <f aca="false">E9*Ipotesi!$C$49</f>
        <v>13.75</v>
      </c>
      <c r="G9" s="20" t="n">
        <f aca="false">F9*Ipotesi!$C$50</f>
        <v>5.5</v>
      </c>
      <c r="H9" s="20" t="n">
        <f aca="false">G9*Ipotesi!$C$51</f>
        <v>3.3</v>
      </c>
      <c r="I9" s="20" t="n">
        <f aca="false">IF(A9&lt;=12,Ipotesi!$B$42,Ipotesi!$B$43)</f>
        <v>8.92193308550186</v>
      </c>
      <c r="J9" s="20" t="n">
        <f aca="false">MIN(H9,I9)</f>
        <v>3.3</v>
      </c>
      <c r="K9" s="20" t="n">
        <f aca="false">H9-J9</f>
        <v>0</v>
      </c>
      <c r="L9" s="18" t="n">
        <f aca="false">J9*Ipotesi!$B$37</f>
        <v>6715.5</v>
      </c>
      <c r="M9" s="18" t="n">
        <f aca="false">(G9-J9)*Ipotesi!$B$19</f>
        <v>220</v>
      </c>
      <c r="N9" s="18" t="n">
        <f aca="false">IF(A9&gt;=Ipotesi!$B$26,Ipotesi!$C$52*Ipotesi!$B$25/12,0)</f>
        <v>0</v>
      </c>
      <c r="O9" s="18" t="n">
        <f aca="false">IF(A9&gt;=Ipotesi!$B$27,Ipotesi!$C$53,0)</f>
        <v>0</v>
      </c>
      <c r="P9" s="18" t="n">
        <f aca="false">SUM(L9:O9)</f>
        <v>6935.5</v>
      </c>
      <c r="Q9" s="18" t="n">
        <f aca="false">IF(A9=1,Ipotesi!$B$10+Ipotesi!$B$11,0)+Ipotesi!$B$8*Ipotesi!$B$9+Ipotesi!$B$12+Ipotesi!$B$13+Ipotesi!$B$16*52/12*Ipotesi!$B$17</f>
        <v>620</v>
      </c>
      <c r="R9" s="18" t="n">
        <f aca="false">Ipotesi!$B$14*52/12*Ipotesi!$B$15</f>
        <v>1040</v>
      </c>
      <c r="S9" s="18" t="n">
        <f aca="false">J9*IF(A9&lt;=12,Ipotesi!$B$38,Ipotesi!$B$39)*Ipotesi!$B$22</f>
        <v>1997.325</v>
      </c>
      <c r="T9" s="18" t="n">
        <f aca="false">P9-Q9-R9-S9</f>
        <v>3278.175</v>
      </c>
      <c r="U9" s="18" t="n">
        <f aca="false">U8+T9</f>
        <v>-479.994</v>
      </c>
      <c r="V9" s="18" t="n">
        <f aca="false">L9*Ipotesi!$B$20+IF(A9&gt;Ipotesi!$B$21,INDEX($L$5:$L$40,A9-Ipotesi!$B$21)*(1-Ipotesi!$B$20),0)+M9+N9+O9</f>
        <v>3577.75</v>
      </c>
      <c r="W9" s="18" t="n">
        <f aca="false">V9-Q9-S9</f>
        <v>960.425000000001</v>
      </c>
      <c r="X9" s="18" t="n">
        <f aca="false">X8+W9</f>
        <v>-2093.174</v>
      </c>
      <c r="Y9" s="45" t="n">
        <f aca="false">IF(U9&gt;=0,A9,999)</f>
        <v>999</v>
      </c>
      <c r="Z9" s="20" t="n">
        <f aca="false">F9*SUMPRODUCT((Social!$C$6:$C$11&lt;=A9)*Social!$B$6:$B$11*Social!$I$6:$I$11)</f>
        <v>4.125</v>
      </c>
      <c r="AA9" s="20" t="n">
        <f aca="false">Z9*Ipotesi!$C$50</f>
        <v>1.65</v>
      </c>
      <c r="AB9" s="20" t="n">
        <f aca="false">AA9*Ipotesi!$C$51</f>
        <v>0.99</v>
      </c>
      <c r="AC9" s="20" t="n">
        <f aca="false">MIN(AB9,MAX(0,I9-J9))</f>
        <v>0.99</v>
      </c>
      <c r="AD9" s="18" t="n">
        <f aca="false">AC9*Ipotesi!$B$37+(AA9-AC9)*Ipotesi!$B$19</f>
        <v>2080.65</v>
      </c>
      <c r="AE9" s="18" t="n">
        <f aca="false">SUMPRODUCT((Social!$C$6:$C$11&lt;=A9)*Social!$J$6:$J$11)</f>
        <v>920</v>
      </c>
      <c r="AF9" s="18" t="n">
        <f aca="false">SUMPRODUCT((Social!$C$6:$C$11&lt;=A9)*Social!$K$6:$K$11)</f>
        <v>433.333333333333</v>
      </c>
      <c r="AG9" s="18" t="n">
        <f aca="false">AC9*IF(A9&lt;=12,Ipotesi!$B$38,Ipotesi!$B$39)*Ipotesi!$B$22</f>
        <v>599.1975</v>
      </c>
      <c r="AH9" s="18" t="n">
        <f aca="false">AD9-AE9-AF9-AG9</f>
        <v>128.119166666667</v>
      </c>
      <c r="AI9" s="18" t="n">
        <f aca="false">AI8+AH9</f>
        <v>-2181.10041666667</v>
      </c>
      <c r="AJ9" s="18" t="n">
        <f aca="false">U9+AI9</f>
        <v>-2661.09441666667</v>
      </c>
      <c r="AK9" s="18" t="n">
        <f aca="false">AC9*Ipotesi!$B$37*Ipotesi!$B$20+IF(A9&gt;Ipotesi!$B$21,INDEX($AC$5:$AC$40,A9-Ipotesi!$B$21)*Ipotesi!$B$37*(1-Ipotesi!$B$20),0)+(AA9-AC9)*Ipotesi!$B$19</f>
        <v>1073.325</v>
      </c>
      <c r="AL9" s="18" t="n">
        <f aca="false">X9+SUM($AK$5:AK9)-SUM($AE$5:AE9)-SUM($AG$5:AG9)</f>
        <v>-5116.47025</v>
      </c>
      <c r="AM9" s="45" t="n">
        <f aca="false">IF(AJ9&gt;=0,A9,999)</f>
        <v>999</v>
      </c>
    </row>
    <row r="10" customFormat="false" ht="15" hidden="false" customHeight="false" outlineLevel="0" collapsed="false">
      <c r="A10" s="25" t="n">
        <v>6</v>
      </c>
      <c r="B10" s="45" t="n">
        <f aca="false">INT((A10-1)/12)+1</f>
        <v>1</v>
      </c>
      <c r="C10" s="45" t="n">
        <f aca="false">MOD(Ipotesi!$B$7-1+A10-1,12)+1</f>
        <v>4</v>
      </c>
      <c r="D10" s="46" t="n">
        <f aca="false">INDEX(Ipotesi!$B$58:$B$69,C10)</f>
        <v>1.2</v>
      </c>
      <c r="E10" s="45" t="n">
        <f aca="false">Ipotesi!$C$47*MIN(1,(A10/Ipotesi!$B$18)^2)*(1+Ipotesi!$C$48)^(MAX(0,A10-12)/12)*D10</f>
        <v>7200</v>
      </c>
      <c r="F10" s="20" t="n">
        <f aca="false">E10*Ipotesi!$C$49</f>
        <v>21.6</v>
      </c>
      <c r="G10" s="20" t="n">
        <f aca="false">F10*Ipotesi!$C$50</f>
        <v>8.64</v>
      </c>
      <c r="H10" s="20" t="n">
        <f aca="false">G10*Ipotesi!$C$51</f>
        <v>5.184</v>
      </c>
      <c r="I10" s="20" t="n">
        <f aca="false">IF(A10&lt;=12,Ipotesi!$B$42,Ipotesi!$B$43)</f>
        <v>8.92193308550186</v>
      </c>
      <c r="J10" s="20" t="n">
        <f aca="false">MIN(H10,I10)</f>
        <v>5.184</v>
      </c>
      <c r="K10" s="20" t="n">
        <f aca="false">H10-J10</f>
        <v>0</v>
      </c>
      <c r="L10" s="18" t="n">
        <f aca="false">J10*Ipotesi!$B$37</f>
        <v>10549.44</v>
      </c>
      <c r="M10" s="18" t="n">
        <f aca="false">(G10-J10)*Ipotesi!$B$19</f>
        <v>345.6</v>
      </c>
      <c r="N10" s="18" t="n">
        <f aca="false">IF(A10&gt;=Ipotesi!$B$26,Ipotesi!$C$52*Ipotesi!$B$25/12,0)</f>
        <v>0</v>
      </c>
      <c r="O10" s="18" t="n">
        <f aca="false">IF(A10&gt;=Ipotesi!$B$27,Ipotesi!$C$53,0)</f>
        <v>0</v>
      </c>
      <c r="P10" s="18" t="n">
        <f aca="false">SUM(L10:O10)</f>
        <v>10895.04</v>
      </c>
      <c r="Q10" s="18" t="n">
        <f aca="false">IF(A10=1,Ipotesi!$B$10+Ipotesi!$B$11,0)+Ipotesi!$B$8*Ipotesi!$B$9+Ipotesi!$B$12+Ipotesi!$B$13+Ipotesi!$B$16*52/12*Ipotesi!$B$17</f>
        <v>620</v>
      </c>
      <c r="R10" s="18" t="n">
        <f aca="false">Ipotesi!$B$14*52/12*Ipotesi!$B$15</f>
        <v>1040</v>
      </c>
      <c r="S10" s="18" t="n">
        <f aca="false">J10*IF(A10&lt;=12,Ipotesi!$B$38,Ipotesi!$B$39)*Ipotesi!$B$22</f>
        <v>3137.616</v>
      </c>
      <c r="T10" s="18" t="n">
        <f aca="false">P10-Q10-R10-S10</f>
        <v>6097.424</v>
      </c>
      <c r="U10" s="18" t="n">
        <f aca="false">U9+T10</f>
        <v>5617.43</v>
      </c>
      <c r="V10" s="18" t="n">
        <f aca="false">L10*Ipotesi!$B$20+IF(A10&gt;Ipotesi!$B$21,INDEX($L$5:$L$40,A10-Ipotesi!$B$21)*(1-Ipotesi!$B$20),0)+M10+N10+O10</f>
        <v>5620.32</v>
      </c>
      <c r="W10" s="18" t="n">
        <f aca="false">V10-Q10-S10</f>
        <v>1862.704</v>
      </c>
      <c r="X10" s="18" t="n">
        <f aca="false">X9+W10</f>
        <v>-230.469999999999</v>
      </c>
      <c r="Y10" s="45" t="n">
        <f aca="false">IF(U10&gt;=0,A10,999)</f>
        <v>6</v>
      </c>
      <c r="Z10" s="20" t="n">
        <f aca="false">F10*SUMPRODUCT((Social!$C$6:$C$11&lt;=A10)*Social!$B$6:$B$11*Social!$I$6:$I$11)</f>
        <v>6.48</v>
      </c>
      <c r="AA10" s="20" t="n">
        <f aca="false">Z10*Ipotesi!$C$50</f>
        <v>2.592</v>
      </c>
      <c r="AB10" s="20" t="n">
        <f aca="false">AA10*Ipotesi!$C$51</f>
        <v>1.5552</v>
      </c>
      <c r="AC10" s="20" t="n">
        <f aca="false">MIN(AB10,MAX(0,I10-J10))</f>
        <v>1.5552</v>
      </c>
      <c r="AD10" s="18" t="n">
        <f aca="false">AC10*Ipotesi!$B$37+(AA10-AC10)*Ipotesi!$B$19</f>
        <v>3268.512</v>
      </c>
      <c r="AE10" s="18" t="n">
        <f aca="false">SUMPRODUCT((Social!$C$6:$C$11&lt;=A10)*Social!$J$6:$J$11)</f>
        <v>920</v>
      </c>
      <c r="AF10" s="18" t="n">
        <f aca="false">SUMPRODUCT((Social!$C$6:$C$11&lt;=A10)*Social!$K$6:$K$11)</f>
        <v>433.333333333333</v>
      </c>
      <c r="AG10" s="18" t="n">
        <f aca="false">AC10*IF(A10&lt;=12,Ipotesi!$B$38,Ipotesi!$B$39)*Ipotesi!$B$22</f>
        <v>941.2848</v>
      </c>
      <c r="AH10" s="18" t="n">
        <f aca="false">AD10-AE10-AF10-AG10</f>
        <v>973.893866666667</v>
      </c>
      <c r="AI10" s="18" t="n">
        <f aca="false">AI9+AH10</f>
        <v>-1207.20655</v>
      </c>
      <c r="AJ10" s="18" t="n">
        <f aca="false">U10+AI10</f>
        <v>4410.22345</v>
      </c>
      <c r="AK10" s="18" t="n">
        <f aca="false">AC10*Ipotesi!$B$37*Ipotesi!$B$20+IF(A10&gt;Ipotesi!$B$21,INDEX($AC$5:$AC$40,A10-Ipotesi!$B$21)*Ipotesi!$B$37*(1-Ipotesi!$B$20),0)+(AA10-AC10)*Ipotesi!$B$19</f>
        <v>1686.096</v>
      </c>
      <c r="AL10" s="18" t="n">
        <f aca="false">X10+SUM($AK$5:AK10)-SUM($AE$5:AE10)-SUM($AG$5:AG10)</f>
        <v>-3428.95505</v>
      </c>
      <c r="AM10" s="45" t="n">
        <f aca="false">IF(AJ10&gt;=0,A10,999)</f>
        <v>6</v>
      </c>
    </row>
    <row r="11" customFormat="false" ht="15" hidden="false" customHeight="false" outlineLevel="0" collapsed="false">
      <c r="A11" s="25" t="n">
        <v>7</v>
      </c>
      <c r="B11" s="45" t="n">
        <f aca="false">INT((A11-1)/12)+1</f>
        <v>1</v>
      </c>
      <c r="C11" s="45" t="n">
        <f aca="false">MOD(Ipotesi!$B$7-1+A11-1,12)+1</f>
        <v>5</v>
      </c>
      <c r="D11" s="46" t="n">
        <f aca="false">INDEX(Ipotesi!$B$58:$B$69,C11)</f>
        <v>1.1</v>
      </c>
      <c r="E11" s="45" t="n">
        <f aca="false">Ipotesi!$C$47*MIN(1,(A11/Ipotesi!$B$18)^2)*(1+Ipotesi!$C$48)^(MAX(0,A11-12)/12)*D11</f>
        <v>6600</v>
      </c>
      <c r="F11" s="20" t="n">
        <f aca="false">E11*Ipotesi!$C$49</f>
        <v>19.8</v>
      </c>
      <c r="G11" s="20" t="n">
        <f aca="false">F11*Ipotesi!$C$50</f>
        <v>7.92</v>
      </c>
      <c r="H11" s="20" t="n">
        <f aca="false">G11*Ipotesi!$C$51</f>
        <v>4.752</v>
      </c>
      <c r="I11" s="20" t="n">
        <f aca="false">IF(A11&lt;=12,Ipotesi!$B$42,Ipotesi!$B$43)</f>
        <v>8.92193308550186</v>
      </c>
      <c r="J11" s="20" t="n">
        <f aca="false">MIN(H11,I11)</f>
        <v>4.752</v>
      </c>
      <c r="K11" s="20" t="n">
        <f aca="false">H11-J11</f>
        <v>0</v>
      </c>
      <c r="L11" s="18" t="n">
        <f aca="false">J11*Ipotesi!$B$37</f>
        <v>9670.32</v>
      </c>
      <c r="M11" s="18" t="n">
        <f aca="false">(G11-J11)*Ipotesi!$B$19</f>
        <v>316.8</v>
      </c>
      <c r="N11" s="18" t="n">
        <f aca="false">IF(A11&gt;=Ipotesi!$B$26,Ipotesi!$C$52*Ipotesi!$B$25/12,0)</f>
        <v>0</v>
      </c>
      <c r="O11" s="18" t="n">
        <f aca="false">IF(A11&gt;=Ipotesi!$B$27,Ipotesi!$C$53,0)</f>
        <v>0</v>
      </c>
      <c r="P11" s="18" t="n">
        <f aca="false">SUM(L11:O11)</f>
        <v>9987.12</v>
      </c>
      <c r="Q11" s="18" t="n">
        <f aca="false">IF(A11=1,Ipotesi!$B$10+Ipotesi!$B$11,0)+Ipotesi!$B$8*Ipotesi!$B$9+Ipotesi!$B$12+Ipotesi!$B$13+Ipotesi!$B$16*52/12*Ipotesi!$B$17</f>
        <v>620</v>
      </c>
      <c r="R11" s="18" t="n">
        <f aca="false">Ipotesi!$B$14*52/12*Ipotesi!$B$15</f>
        <v>1040</v>
      </c>
      <c r="S11" s="18" t="n">
        <f aca="false">J11*IF(A11&lt;=12,Ipotesi!$B$38,Ipotesi!$B$39)*Ipotesi!$B$22</f>
        <v>2876.148</v>
      </c>
      <c r="T11" s="18" t="n">
        <f aca="false">P11-Q11-R11-S11</f>
        <v>5450.972</v>
      </c>
      <c r="U11" s="18" t="n">
        <f aca="false">U10+T11</f>
        <v>11068.402</v>
      </c>
      <c r="V11" s="18" t="n">
        <f aca="false">L11*Ipotesi!$B$20+IF(A11&gt;Ipotesi!$B$21,INDEX($L$5:$L$40,A11-Ipotesi!$B$21)*(1-Ipotesi!$B$20),0)+M11+N11+O11</f>
        <v>5274.06</v>
      </c>
      <c r="W11" s="18" t="n">
        <f aca="false">V11-Q11-S11</f>
        <v>1777.912</v>
      </c>
      <c r="X11" s="18" t="n">
        <f aca="false">X10+W11</f>
        <v>1547.442</v>
      </c>
      <c r="Y11" s="45" t="n">
        <f aca="false">IF(U11&gt;=0,A11,999)</f>
        <v>7</v>
      </c>
      <c r="Z11" s="20" t="n">
        <f aca="false">F11*SUMPRODUCT((Social!$C$6:$C$11&lt;=A11)*Social!$B$6:$B$11*Social!$I$6:$I$11)</f>
        <v>5.94</v>
      </c>
      <c r="AA11" s="20" t="n">
        <f aca="false">Z11*Ipotesi!$C$50</f>
        <v>2.376</v>
      </c>
      <c r="AB11" s="20" t="n">
        <f aca="false">AA11*Ipotesi!$C$51</f>
        <v>1.4256</v>
      </c>
      <c r="AC11" s="20" t="n">
        <f aca="false">MIN(AB11,MAX(0,I11-J11))</f>
        <v>1.4256</v>
      </c>
      <c r="AD11" s="18" t="n">
        <f aca="false">AC11*Ipotesi!$B$37+(AA11-AC11)*Ipotesi!$B$19</f>
        <v>2996.136</v>
      </c>
      <c r="AE11" s="18" t="n">
        <f aca="false">SUMPRODUCT((Social!$C$6:$C$11&lt;=A11)*Social!$J$6:$J$11)</f>
        <v>920</v>
      </c>
      <c r="AF11" s="18" t="n">
        <f aca="false">SUMPRODUCT((Social!$C$6:$C$11&lt;=A11)*Social!$K$6:$K$11)</f>
        <v>433.333333333333</v>
      </c>
      <c r="AG11" s="18" t="n">
        <f aca="false">AC11*IF(A11&lt;=12,Ipotesi!$B$38,Ipotesi!$B$39)*Ipotesi!$B$22</f>
        <v>862.8444</v>
      </c>
      <c r="AH11" s="18" t="n">
        <f aca="false">AD11-AE11-AF11-AG11</f>
        <v>779.958266666667</v>
      </c>
      <c r="AI11" s="18" t="n">
        <f aca="false">AI10+AH11</f>
        <v>-427.248283333332</v>
      </c>
      <c r="AJ11" s="18" t="n">
        <f aca="false">U11+AI11</f>
        <v>10641.1537166667</v>
      </c>
      <c r="AK11" s="18" t="n">
        <f aca="false">AC11*Ipotesi!$B$37*Ipotesi!$B$20+IF(A11&gt;Ipotesi!$B$21,INDEX($AC$5:$AC$40,A11-Ipotesi!$B$21)*Ipotesi!$B$37*(1-Ipotesi!$B$20),0)+(AA11-AC11)*Ipotesi!$B$19</f>
        <v>1576.113</v>
      </c>
      <c r="AL11" s="18" t="n">
        <f aca="false">X11+SUM($AK$5:AK11)-SUM($AE$5:AE11)-SUM($AG$5:AG11)</f>
        <v>-1857.77445</v>
      </c>
      <c r="AM11" s="45" t="n">
        <f aca="false">IF(AJ11&gt;=0,A11,999)</f>
        <v>7</v>
      </c>
    </row>
    <row r="12" customFormat="false" ht="15" hidden="false" customHeight="false" outlineLevel="0" collapsed="false">
      <c r="A12" s="25" t="n">
        <v>8</v>
      </c>
      <c r="B12" s="45" t="n">
        <f aca="false">INT((A12-1)/12)+1</f>
        <v>1</v>
      </c>
      <c r="C12" s="45" t="n">
        <f aca="false">MOD(Ipotesi!$B$7-1+A12-1,12)+1</f>
        <v>6</v>
      </c>
      <c r="D12" s="46" t="n">
        <f aca="false">INDEX(Ipotesi!$B$58:$B$69,C12)</f>
        <v>1</v>
      </c>
      <c r="E12" s="45" t="n">
        <f aca="false">Ipotesi!$C$47*MIN(1,(A12/Ipotesi!$B$18)^2)*(1+Ipotesi!$C$48)^(MAX(0,A12-12)/12)*D12</f>
        <v>6000</v>
      </c>
      <c r="F12" s="20" t="n">
        <f aca="false">E12*Ipotesi!$C$49</f>
        <v>18</v>
      </c>
      <c r="G12" s="20" t="n">
        <f aca="false">F12*Ipotesi!$C$50</f>
        <v>7.2</v>
      </c>
      <c r="H12" s="20" t="n">
        <f aca="false">G12*Ipotesi!$C$51</f>
        <v>4.32</v>
      </c>
      <c r="I12" s="20" t="n">
        <f aca="false">IF(A12&lt;=12,Ipotesi!$B$42,Ipotesi!$B$43)</f>
        <v>8.92193308550186</v>
      </c>
      <c r="J12" s="20" t="n">
        <f aca="false">MIN(H12,I12)</f>
        <v>4.32</v>
      </c>
      <c r="K12" s="20" t="n">
        <f aca="false">H12-J12</f>
        <v>0</v>
      </c>
      <c r="L12" s="18" t="n">
        <f aca="false">J12*Ipotesi!$B$37</f>
        <v>8791.2</v>
      </c>
      <c r="M12" s="18" t="n">
        <f aca="false">(G12-J12)*Ipotesi!$B$19</f>
        <v>288</v>
      </c>
      <c r="N12" s="18" t="n">
        <f aca="false">IF(A12&gt;=Ipotesi!$B$26,Ipotesi!$C$52*Ipotesi!$B$25/12,0)</f>
        <v>0</v>
      </c>
      <c r="O12" s="18" t="n">
        <f aca="false">IF(A12&gt;=Ipotesi!$B$27,Ipotesi!$C$53,0)</f>
        <v>0</v>
      </c>
      <c r="P12" s="18" t="n">
        <f aca="false">SUM(L12:O12)</f>
        <v>9079.2</v>
      </c>
      <c r="Q12" s="18" t="n">
        <f aca="false">IF(A12=1,Ipotesi!$B$10+Ipotesi!$B$11,0)+Ipotesi!$B$8*Ipotesi!$B$9+Ipotesi!$B$12+Ipotesi!$B$13+Ipotesi!$B$16*52/12*Ipotesi!$B$17</f>
        <v>620</v>
      </c>
      <c r="R12" s="18" t="n">
        <f aca="false">Ipotesi!$B$14*52/12*Ipotesi!$B$15</f>
        <v>1040</v>
      </c>
      <c r="S12" s="18" t="n">
        <f aca="false">J12*IF(A12&lt;=12,Ipotesi!$B$38,Ipotesi!$B$39)*Ipotesi!$B$22</f>
        <v>2614.68</v>
      </c>
      <c r="T12" s="18" t="n">
        <f aca="false">P12-Q12-R12-S12</f>
        <v>4804.52</v>
      </c>
      <c r="U12" s="18" t="n">
        <f aca="false">U11+T12</f>
        <v>15872.922</v>
      </c>
      <c r="V12" s="18" t="n">
        <f aca="false">L12*Ipotesi!$B$20+IF(A12&gt;Ipotesi!$B$21,INDEX($L$5:$L$40,A12-Ipotesi!$B$21)*(1-Ipotesi!$B$20),0)+M12+N12+O12</f>
        <v>5074.32</v>
      </c>
      <c r="W12" s="18" t="n">
        <f aca="false">V12-Q12-S12</f>
        <v>1839.64</v>
      </c>
      <c r="X12" s="18" t="n">
        <f aca="false">X11+W12</f>
        <v>3387.082</v>
      </c>
      <c r="Y12" s="45" t="n">
        <f aca="false">IF(U12&gt;=0,A12,999)</f>
        <v>8</v>
      </c>
      <c r="Z12" s="20" t="n">
        <f aca="false">F12*SUMPRODUCT((Social!$C$6:$C$11&lt;=A12)*Social!$B$6:$B$11*Social!$I$6:$I$11)</f>
        <v>5.4</v>
      </c>
      <c r="AA12" s="20" t="n">
        <f aca="false">Z12*Ipotesi!$C$50</f>
        <v>2.16</v>
      </c>
      <c r="AB12" s="20" t="n">
        <f aca="false">AA12*Ipotesi!$C$51</f>
        <v>1.296</v>
      </c>
      <c r="AC12" s="20" t="n">
        <f aca="false">MIN(AB12,MAX(0,I12-J12))</f>
        <v>1.296</v>
      </c>
      <c r="AD12" s="18" t="n">
        <f aca="false">AC12*Ipotesi!$B$37+(AA12-AC12)*Ipotesi!$B$19</f>
        <v>2723.76</v>
      </c>
      <c r="AE12" s="18" t="n">
        <f aca="false">SUMPRODUCT((Social!$C$6:$C$11&lt;=A12)*Social!$J$6:$J$11)</f>
        <v>920</v>
      </c>
      <c r="AF12" s="18" t="n">
        <f aca="false">SUMPRODUCT((Social!$C$6:$C$11&lt;=A12)*Social!$K$6:$K$11)</f>
        <v>433.333333333333</v>
      </c>
      <c r="AG12" s="18" t="n">
        <f aca="false">AC12*IF(A12&lt;=12,Ipotesi!$B$38,Ipotesi!$B$39)*Ipotesi!$B$22</f>
        <v>784.404</v>
      </c>
      <c r="AH12" s="18" t="n">
        <f aca="false">AD12-AE12-AF12-AG12</f>
        <v>586.022666666667</v>
      </c>
      <c r="AI12" s="18" t="n">
        <f aca="false">AI11+AH12</f>
        <v>158.774383333335</v>
      </c>
      <c r="AJ12" s="18" t="n">
        <f aca="false">U12+AI12</f>
        <v>16031.6963833333</v>
      </c>
      <c r="AK12" s="18" t="n">
        <f aca="false">AC12*Ipotesi!$B$37*Ipotesi!$B$20+IF(A12&gt;Ipotesi!$B$21,INDEX($AC$5:$AC$40,A12-Ipotesi!$B$21)*Ipotesi!$B$37*(1-Ipotesi!$B$20),0)+(AA12-AC12)*Ipotesi!$B$19</f>
        <v>1502.76</v>
      </c>
      <c r="AL12" s="18" t="n">
        <f aca="false">X12+SUM($AK$5:AK12)-SUM($AE$5:AE12)-SUM($AG$5:AG12)</f>
        <v>-219.778449999996</v>
      </c>
      <c r="AM12" s="45" t="n">
        <f aca="false">IF(AJ12&gt;=0,A12,999)</f>
        <v>8</v>
      </c>
    </row>
    <row r="13" customFormat="false" ht="15" hidden="false" customHeight="false" outlineLevel="0" collapsed="false">
      <c r="A13" s="25" t="n">
        <v>9</v>
      </c>
      <c r="B13" s="45" t="n">
        <f aca="false">INT((A13-1)/12)+1</f>
        <v>1</v>
      </c>
      <c r="C13" s="45" t="n">
        <f aca="false">MOD(Ipotesi!$B$7-1+A13-1,12)+1</f>
        <v>7</v>
      </c>
      <c r="D13" s="46" t="n">
        <f aca="false">INDEX(Ipotesi!$B$58:$B$69,C13)</f>
        <v>1</v>
      </c>
      <c r="E13" s="45" t="n">
        <f aca="false">Ipotesi!$C$47*MIN(1,(A13/Ipotesi!$B$18)^2)*(1+Ipotesi!$C$48)^(MAX(0,A13-12)/12)*D13</f>
        <v>6000</v>
      </c>
      <c r="F13" s="20" t="n">
        <f aca="false">E13*Ipotesi!$C$49</f>
        <v>18</v>
      </c>
      <c r="G13" s="20" t="n">
        <f aca="false">F13*Ipotesi!$C$50</f>
        <v>7.2</v>
      </c>
      <c r="H13" s="20" t="n">
        <f aca="false">G13*Ipotesi!$C$51</f>
        <v>4.32</v>
      </c>
      <c r="I13" s="20" t="n">
        <f aca="false">IF(A13&lt;=12,Ipotesi!$B$42,Ipotesi!$B$43)</f>
        <v>8.92193308550186</v>
      </c>
      <c r="J13" s="20" t="n">
        <f aca="false">MIN(H13,I13)</f>
        <v>4.32</v>
      </c>
      <c r="K13" s="20" t="n">
        <f aca="false">H13-J13</f>
        <v>0</v>
      </c>
      <c r="L13" s="18" t="n">
        <f aca="false">J13*Ipotesi!$B$37</f>
        <v>8791.2</v>
      </c>
      <c r="M13" s="18" t="n">
        <f aca="false">(G13-J13)*Ipotesi!$B$19</f>
        <v>288</v>
      </c>
      <c r="N13" s="18" t="n">
        <f aca="false">IF(A13&gt;=Ipotesi!$B$26,Ipotesi!$C$52*Ipotesi!$B$25/12,0)</f>
        <v>0</v>
      </c>
      <c r="O13" s="18" t="n">
        <f aca="false">IF(A13&gt;=Ipotesi!$B$27,Ipotesi!$C$53,0)</f>
        <v>0</v>
      </c>
      <c r="P13" s="18" t="n">
        <f aca="false">SUM(L13:O13)</f>
        <v>9079.2</v>
      </c>
      <c r="Q13" s="18" t="n">
        <f aca="false">IF(A13=1,Ipotesi!$B$10+Ipotesi!$B$11,0)+Ipotesi!$B$8*Ipotesi!$B$9+Ipotesi!$B$12+Ipotesi!$B$13+Ipotesi!$B$16*52/12*Ipotesi!$B$17</f>
        <v>620</v>
      </c>
      <c r="R13" s="18" t="n">
        <f aca="false">Ipotesi!$B$14*52/12*Ipotesi!$B$15</f>
        <v>1040</v>
      </c>
      <c r="S13" s="18" t="n">
        <f aca="false">J13*IF(A13&lt;=12,Ipotesi!$B$38,Ipotesi!$B$39)*Ipotesi!$B$22</f>
        <v>2614.68</v>
      </c>
      <c r="T13" s="18" t="n">
        <f aca="false">P13-Q13-R13-S13</f>
        <v>4804.52</v>
      </c>
      <c r="U13" s="18" t="n">
        <f aca="false">U12+T13</f>
        <v>20677.442</v>
      </c>
      <c r="V13" s="18" t="n">
        <f aca="false">L13*Ipotesi!$B$20+IF(A13&gt;Ipotesi!$B$21,INDEX($L$5:$L$40,A13-Ipotesi!$B$21)*(1-Ipotesi!$B$20),0)+M13+N13+O13</f>
        <v>5672.61</v>
      </c>
      <c r="W13" s="18" t="n">
        <f aca="false">V13-Q13-S13</f>
        <v>2437.93</v>
      </c>
      <c r="X13" s="18" t="n">
        <f aca="false">X12+W13</f>
        <v>5825.012</v>
      </c>
      <c r="Y13" s="45" t="n">
        <f aca="false">IF(U13&gt;=0,A13,999)</f>
        <v>9</v>
      </c>
      <c r="Z13" s="20" t="n">
        <f aca="false">F13*SUMPRODUCT((Social!$C$6:$C$11&lt;=A13)*Social!$B$6:$B$11*Social!$I$6:$I$11)</f>
        <v>5.4</v>
      </c>
      <c r="AA13" s="20" t="n">
        <f aca="false">Z13*Ipotesi!$C$50</f>
        <v>2.16</v>
      </c>
      <c r="AB13" s="20" t="n">
        <f aca="false">AA13*Ipotesi!$C$51</f>
        <v>1.296</v>
      </c>
      <c r="AC13" s="20" t="n">
        <f aca="false">MIN(AB13,MAX(0,I13-J13))</f>
        <v>1.296</v>
      </c>
      <c r="AD13" s="18" t="n">
        <f aca="false">AC13*Ipotesi!$B$37+(AA13-AC13)*Ipotesi!$B$19</f>
        <v>2723.76</v>
      </c>
      <c r="AE13" s="18" t="n">
        <f aca="false">SUMPRODUCT((Social!$C$6:$C$11&lt;=A13)*Social!$J$6:$J$11)</f>
        <v>920</v>
      </c>
      <c r="AF13" s="18" t="n">
        <f aca="false">SUMPRODUCT((Social!$C$6:$C$11&lt;=A13)*Social!$K$6:$K$11)</f>
        <v>433.333333333333</v>
      </c>
      <c r="AG13" s="18" t="n">
        <f aca="false">AC13*IF(A13&lt;=12,Ipotesi!$B$38,Ipotesi!$B$39)*Ipotesi!$B$22</f>
        <v>784.404</v>
      </c>
      <c r="AH13" s="18" t="n">
        <f aca="false">AD13-AE13-AF13-AG13</f>
        <v>586.022666666667</v>
      </c>
      <c r="AI13" s="18" t="n">
        <f aca="false">AI12+AH13</f>
        <v>744.797050000002</v>
      </c>
      <c r="AJ13" s="18" t="n">
        <f aca="false">U13+AI13</f>
        <v>21422.23905</v>
      </c>
      <c r="AK13" s="18" t="n">
        <f aca="false">AC13*Ipotesi!$B$37*Ipotesi!$B$20+IF(A13&gt;Ipotesi!$B$21,INDEX($AC$5:$AC$40,A13-Ipotesi!$B$21)*Ipotesi!$B$37*(1-Ipotesi!$B$20),0)+(AA13-AC13)*Ipotesi!$B$19</f>
        <v>1652.3325</v>
      </c>
      <c r="AL13" s="18" t="n">
        <f aca="false">X13+SUM($AK$5:AK13)-SUM($AE$5:AE13)-SUM($AG$5:AG13)</f>
        <v>2166.08005000001</v>
      </c>
      <c r="AM13" s="45" t="n">
        <f aca="false">IF(AJ13&gt;=0,A13,999)</f>
        <v>9</v>
      </c>
    </row>
    <row r="14" customFormat="false" ht="15" hidden="false" customHeight="false" outlineLevel="0" collapsed="false">
      <c r="A14" s="25" t="n">
        <v>10</v>
      </c>
      <c r="B14" s="45" t="n">
        <f aca="false">INT((A14-1)/12)+1</f>
        <v>1</v>
      </c>
      <c r="C14" s="45" t="n">
        <f aca="false">MOD(Ipotesi!$B$7-1+A14-1,12)+1</f>
        <v>8</v>
      </c>
      <c r="D14" s="46" t="n">
        <f aca="false">INDEX(Ipotesi!$B$58:$B$69,C14)</f>
        <v>0.7</v>
      </c>
      <c r="E14" s="45" t="n">
        <f aca="false">Ipotesi!$C$47*MIN(1,(A14/Ipotesi!$B$18)^2)*(1+Ipotesi!$C$48)^(MAX(0,A14-12)/12)*D14</f>
        <v>4200</v>
      </c>
      <c r="F14" s="20" t="n">
        <f aca="false">E14*Ipotesi!$C$49</f>
        <v>12.6</v>
      </c>
      <c r="G14" s="20" t="n">
        <f aca="false">F14*Ipotesi!$C$50</f>
        <v>5.04</v>
      </c>
      <c r="H14" s="20" t="n">
        <f aca="false">G14*Ipotesi!$C$51</f>
        <v>3.024</v>
      </c>
      <c r="I14" s="20" t="n">
        <f aca="false">IF(A14&lt;=12,Ipotesi!$B$42,Ipotesi!$B$43)</f>
        <v>8.92193308550186</v>
      </c>
      <c r="J14" s="20" t="n">
        <f aca="false">MIN(H14,I14)</f>
        <v>3.024</v>
      </c>
      <c r="K14" s="20" t="n">
        <f aca="false">H14-J14</f>
        <v>0</v>
      </c>
      <c r="L14" s="18" t="n">
        <f aca="false">J14*Ipotesi!$B$37</f>
        <v>6153.84</v>
      </c>
      <c r="M14" s="18" t="n">
        <f aca="false">(G14-J14)*Ipotesi!$B$19</f>
        <v>201.6</v>
      </c>
      <c r="N14" s="18" t="n">
        <f aca="false">IF(A14&gt;=Ipotesi!$B$26,Ipotesi!$C$52*Ipotesi!$B$25/12,0)</f>
        <v>0</v>
      </c>
      <c r="O14" s="18" t="n">
        <f aca="false">IF(A14&gt;=Ipotesi!$B$27,Ipotesi!$C$53,0)</f>
        <v>0</v>
      </c>
      <c r="P14" s="18" t="n">
        <f aca="false">SUM(L14:O14)</f>
        <v>6355.44</v>
      </c>
      <c r="Q14" s="18" t="n">
        <f aca="false">IF(A14=1,Ipotesi!$B$10+Ipotesi!$B$11,0)+Ipotesi!$B$8*Ipotesi!$B$9+Ipotesi!$B$12+Ipotesi!$B$13+Ipotesi!$B$16*52/12*Ipotesi!$B$17</f>
        <v>620</v>
      </c>
      <c r="R14" s="18" t="n">
        <f aca="false">Ipotesi!$B$14*52/12*Ipotesi!$B$15</f>
        <v>1040</v>
      </c>
      <c r="S14" s="18" t="n">
        <f aca="false">J14*IF(A14&lt;=12,Ipotesi!$B$38,Ipotesi!$B$39)*Ipotesi!$B$22</f>
        <v>1830.276</v>
      </c>
      <c r="T14" s="18" t="n">
        <f aca="false">P14-Q14-R14-S14</f>
        <v>2865.164</v>
      </c>
      <c r="U14" s="18" t="n">
        <f aca="false">U13+T14</f>
        <v>23542.606</v>
      </c>
      <c r="V14" s="18" t="n">
        <f aca="false">L14*Ipotesi!$B$20+IF(A14&gt;Ipotesi!$B$21,INDEX($L$5:$L$40,A14-Ipotesi!$B$21)*(1-Ipotesi!$B$20),0)+M14+N14+O14</f>
        <v>5232.12</v>
      </c>
      <c r="W14" s="18" t="n">
        <f aca="false">V14-Q14-S14</f>
        <v>2781.844</v>
      </c>
      <c r="X14" s="18" t="n">
        <f aca="false">X13+W14</f>
        <v>8606.85600000001</v>
      </c>
      <c r="Y14" s="45" t="n">
        <f aca="false">IF(U14&gt;=0,A14,999)</f>
        <v>10</v>
      </c>
      <c r="Z14" s="20" t="n">
        <f aca="false">F14*SUMPRODUCT((Social!$C$6:$C$11&lt;=A14)*Social!$B$6:$B$11*Social!$I$6:$I$11)</f>
        <v>3.78</v>
      </c>
      <c r="AA14" s="20" t="n">
        <f aca="false">Z14*Ipotesi!$C$50</f>
        <v>1.512</v>
      </c>
      <c r="AB14" s="20" t="n">
        <f aca="false">AA14*Ipotesi!$C$51</f>
        <v>0.9072</v>
      </c>
      <c r="AC14" s="20" t="n">
        <f aca="false">MIN(AB14,MAX(0,I14-J14))</f>
        <v>0.9072</v>
      </c>
      <c r="AD14" s="18" t="n">
        <f aca="false">AC14*Ipotesi!$B$37+(AA14-AC14)*Ipotesi!$B$19</f>
        <v>1906.632</v>
      </c>
      <c r="AE14" s="18" t="n">
        <f aca="false">SUMPRODUCT((Social!$C$6:$C$11&lt;=A14)*Social!$J$6:$J$11)</f>
        <v>920</v>
      </c>
      <c r="AF14" s="18" t="n">
        <f aca="false">SUMPRODUCT((Social!$C$6:$C$11&lt;=A14)*Social!$K$6:$K$11)</f>
        <v>433.333333333333</v>
      </c>
      <c r="AG14" s="18" t="n">
        <f aca="false">AC14*IF(A14&lt;=12,Ipotesi!$B$38,Ipotesi!$B$39)*Ipotesi!$B$22</f>
        <v>549.0828</v>
      </c>
      <c r="AH14" s="18" t="n">
        <f aca="false">AD14-AE14-AF14-AG14</f>
        <v>4.2158666666669</v>
      </c>
      <c r="AI14" s="18" t="n">
        <f aca="false">AI13+AH14</f>
        <v>749.012916666669</v>
      </c>
      <c r="AJ14" s="18" t="n">
        <f aca="false">U14+AI14</f>
        <v>24291.6189166667</v>
      </c>
      <c r="AK14" s="18" t="n">
        <f aca="false">AC14*Ipotesi!$B$37*Ipotesi!$B$20+IF(A14&gt;Ipotesi!$B$21,INDEX($AC$5:$AC$40,A14-Ipotesi!$B$21)*Ipotesi!$B$37*(1-Ipotesi!$B$20),0)+(AA14-AC14)*Ipotesi!$B$19</f>
        <v>1569.636</v>
      </c>
      <c r="AL14" s="18" t="n">
        <f aca="false">X14+SUM($AK$5:AK14)-SUM($AE$5:AE14)-SUM($AG$5:AG14)</f>
        <v>5048.47725000001</v>
      </c>
      <c r="AM14" s="45" t="n">
        <f aca="false">IF(AJ14&gt;=0,A14,999)</f>
        <v>10</v>
      </c>
    </row>
    <row r="15" customFormat="false" ht="15" hidden="false" customHeight="false" outlineLevel="0" collapsed="false">
      <c r="A15" s="25" t="n">
        <v>11</v>
      </c>
      <c r="B15" s="45" t="n">
        <f aca="false">INT((A15-1)/12)+1</f>
        <v>1</v>
      </c>
      <c r="C15" s="45" t="n">
        <f aca="false">MOD(Ipotesi!$B$7-1+A15-1,12)+1</f>
        <v>9</v>
      </c>
      <c r="D15" s="46" t="n">
        <f aca="false">INDEX(Ipotesi!$B$58:$B$69,C15)</f>
        <v>1.1</v>
      </c>
      <c r="E15" s="45" t="n">
        <f aca="false">Ipotesi!$C$47*MIN(1,(A15/Ipotesi!$B$18)^2)*(1+Ipotesi!$C$48)^(MAX(0,A15-12)/12)*D15</f>
        <v>6600</v>
      </c>
      <c r="F15" s="20" t="n">
        <f aca="false">E15*Ipotesi!$C$49</f>
        <v>19.8</v>
      </c>
      <c r="G15" s="20" t="n">
        <f aca="false">F15*Ipotesi!$C$50</f>
        <v>7.92</v>
      </c>
      <c r="H15" s="20" t="n">
        <f aca="false">G15*Ipotesi!$C$51</f>
        <v>4.752</v>
      </c>
      <c r="I15" s="20" t="n">
        <f aca="false">IF(A15&lt;=12,Ipotesi!$B$42,Ipotesi!$B$43)</f>
        <v>8.92193308550186</v>
      </c>
      <c r="J15" s="20" t="n">
        <f aca="false">MIN(H15,I15)</f>
        <v>4.752</v>
      </c>
      <c r="K15" s="20" t="n">
        <f aca="false">H15-J15</f>
        <v>0</v>
      </c>
      <c r="L15" s="18" t="n">
        <f aca="false">J15*Ipotesi!$B$37</f>
        <v>9670.32</v>
      </c>
      <c r="M15" s="18" t="n">
        <f aca="false">(G15-J15)*Ipotesi!$B$19</f>
        <v>316.8</v>
      </c>
      <c r="N15" s="18" t="n">
        <f aca="false">IF(A15&gt;=Ipotesi!$B$26,Ipotesi!$C$52*Ipotesi!$B$25/12,0)</f>
        <v>0</v>
      </c>
      <c r="O15" s="18" t="n">
        <f aca="false">IF(A15&gt;=Ipotesi!$B$27,Ipotesi!$C$53,0)</f>
        <v>0</v>
      </c>
      <c r="P15" s="18" t="n">
        <f aca="false">SUM(L15:O15)</f>
        <v>9987.12</v>
      </c>
      <c r="Q15" s="18" t="n">
        <f aca="false">IF(A15=1,Ipotesi!$B$10+Ipotesi!$B$11,0)+Ipotesi!$B$8*Ipotesi!$B$9+Ipotesi!$B$12+Ipotesi!$B$13+Ipotesi!$B$16*52/12*Ipotesi!$B$17</f>
        <v>620</v>
      </c>
      <c r="R15" s="18" t="n">
        <f aca="false">Ipotesi!$B$14*52/12*Ipotesi!$B$15</f>
        <v>1040</v>
      </c>
      <c r="S15" s="18" t="n">
        <f aca="false">J15*IF(A15&lt;=12,Ipotesi!$B$38,Ipotesi!$B$39)*Ipotesi!$B$22</f>
        <v>2876.148</v>
      </c>
      <c r="T15" s="18" t="n">
        <f aca="false">P15-Q15-R15-S15</f>
        <v>5450.972</v>
      </c>
      <c r="U15" s="18" t="n">
        <f aca="false">U14+T15</f>
        <v>28993.578</v>
      </c>
      <c r="V15" s="18" t="n">
        <f aca="false">L15*Ipotesi!$B$20+IF(A15&gt;Ipotesi!$B$21,INDEX($L$5:$L$40,A15-Ipotesi!$B$21)*(1-Ipotesi!$B$20),0)+M15+N15+O15</f>
        <v>8509.71</v>
      </c>
      <c r="W15" s="18" t="n">
        <f aca="false">V15-Q15-S15</f>
        <v>5013.562</v>
      </c>
      <c r="X15" s="18" t="n">
        <f aca="false">X14+W15</f>
        <v>13620.418</v>
      </c>
      <c r="Y15" s="45" t="n">
        <f aca="false">IF(U15&gt;=0,A15,999)</f>
        <v>11</v>
      </c>
      <c r="Z15" s="20" t="n">
        <f aca="false">F15*SUMPRODUCT((Social!$C$6:$C$11&lt;=A15)*Social!$B$6:$B$11*Social!$I$6:$I$11)</f>
        <v>5.94</v>
      </c>
      <c r="AA15" s="20" t="n">
        <f aca="false">Z15*Ipotesi!$C$50</f>
        <v>2.376</v>
      </c>
      <c r="AB15" s="20" t="n">
        <f aca="false">AA15*Ipotesi!$C$51</f>
        <v>1.4256</v>
      </c>
      <c r="AC15" s="20" t="n">
        <f aca="false">MIN(AB15,MAX(0,I15-J15))</f>
        <v>1.4256</v>
      </c>
      <c r="AD15" s="18" t="n">
        <f aca="false">AC15*Ipotesi!$B$37+(AA15-AC15)*Ipotesi!$B$19</f>
        <v>2996.136</v>
      </c>
      <c r="AE15" s="18" t="n">
        <f aca="false">SUMPRODUCT((Social!$C$6:$C$11&lt;=A15)*Social!$J$6:$J$11)</f>
        <v>920</v>
      </c>
      <c r="AF15" s="18" t="n">
        <f aca="false">SUMPRODUCT((Social!$C$6:$C$11&lt;=A15)*Social!$K$6:$K$11)</f>
        <v>433.333333333333</v>
      </c>
      <c r="AG15" s="18" t="n">
        <f aca="false">AC15*IF(A15&lt;=12,Ipotesi!$B$38,Ipotesi!$B$39)*Ipotesi!$B$22</f>
        <v>862.8444</v>
      </c>
      <c r="AH15" s="18" t="n">
        <f aca="false">AD15-AE15-AF15-AG15</f>
        <v>779.958266666667</v>
      </c>
      <c r="AI15" s="18" t="n">
        <f aca="false">AI14+AH15</f>
        <v>1528.97118333334</v>
      </c>
      <c r="AJ15" s="18" t="n">
        <f aca="false">U15+AI15</f>
        <v>30522.5491833333</v>
      </c>
      <c r="AK15" s="18" t="n">
        <f aca="false">AC15*Ipotesi!$B$37*Ipotesi!$B$20+IF(A15&gt;Ipotesi!$B$21,INDEX($AC$5:$AC$40,A15-Ipotesi!$B$21)*Ipotesi!$B$37*(1-Ipotesi!$B$20),0)+(AA15-AC15)*Ipotesi!$B$19</f>
        <v>2552.913</v>
      </c>
      <c r="AL15" s="18" t="n">
        <f aca="false">X15+SUM($AK$5:AK15)-SUM($AE$5:AE15)-SUM($AG$5:AG15)</f>
        <v>10832.10785</v>
      </c>
      <c r="AM15" s="45" t="n">
        <f aca="false">IF(AJ15&gt;=0,A15,999)</f>
        <v>11</v>
      </c>
    </row>
    <row r="16" customFormat="false" ht="15" hidden="false" customHeight="false" outlineLevel="0" collapsed="false">
      <c r="A16" s="25" t="n">
        <v>12</v>
      </c>
      <c r="B16" s="45" t="n">
        <f aca="false">INT((A16-1)/12)+1</f>
        <v>1</v>
      </c>
      <c r="C16" s="45" t="n">
        <f aca="false">MOD(Ipotesi!$B$7-1+A16-1,12)+1</f>
        <v>10</v>
      </c>
      <c r="D16" s="46" t="n">
        <f aca="false">INDEX(Ipotesi!$B$58:$B$69,C16)</f>
        <v>1.1</v>
      </c>
      <c r="E16" s="45" t="n">
        <f aca="false">Ipotesi!$C$47*MIN(1,(A16/Ipotesi!$B$18)^2)*(1+Ipotesi!$C$48)^(MAX(0,A16-12)/12)*D16</f>
        <v>6600</v>
      </c>
      <c r="F16" s="20" t="n">
        <f aca="false">E16*Ipotesi!$C$49</f>
        <v>19.8</v>
      </c>
      <c r="G16" s="20" t="n">
        <f aca="false">F16*Ipotesi!$C$50</f>
        <v>7.92</v>
      </c>
      <c r="H16" s="20" t="n">
        <f aca="false">G16*Ipotesi!$C$51</f>
        <v>4.752</v>
      </c>
      <c r="I16" s="20" t="n">
        <f aca="false">IF(A16&lt;=12,Ipotesi!$B$42,Ipotesi!$B$43)</f>
        <v>8.92193308550186</v>
      </c>
      <c r="J16" s="20" t="n">
        <f aca="false">MIN(H16,I16)</f>
        <v>4.752</v>
      </c>
      <c r="K16" s="20" t="n">
        <f aca="false">H16-J16</f>
        <v>0</v>
      </c>
      <c r="L16" s="18" t="n">
        <f aca="false">J16*Ipotesi!$B$37</f>
        <v>9670.32</v>
      </c>
      <c r="M16" s="18" t="n">
        <f aca="false">(G16-J16)*Ipotesi!$B$19</f>
        <v>316.8</v>
      </c>
      <c r="N16" s="18" t="n">
        <f aca="false">IF(A16&gt;=Ipotesi!$B$26,Ipotesi!$C$52*Ipotesi!$B$25/12,0)</f>
        <v>0</v>
      </c>
      <c r="O16" s="18" t="n">
        <f aca="false">IF(A16&gt;=Ipotesi!$B$27,Ipotesi!$C$53,0)</f>
        <v>0</v>
      </c>
      <c r="P16" s="18" t="n">
        <f aca="false">SUM(L16:O16)</f>
        <v>9987.12</v>
      </c>
      <c r="Q16" s="18" t="n">
        <f aca="false">IF(A16=1,Ipotesi!$B$10+Ipotesi!$B$11,0)+Ipotesi!$B$8*Ipotesi!$B$9+Ipotesi!$B$12+Ipotesi!$B$13+Ipotesi!$B$16*52/12*Ipotesi!$B$17</f>
        <v>620</v>
      </c>
      <c r="R16" s="18" t="n">
        <f aca="false">Ipotesi!$B$14*52/12*Ipotesi!$B$15</f>
        <v>1040</v>
      </c>
      <c r="S16" s="18" t="n">
        <f aca="false">J16*IF(A16&lt;=12,Ipotesi!$B$38,Ipotesi!$B$39)*Ipotesi!$B$22</f>
        <v>2876.148</v>
      </c>
      <c r="T16" s="18" t="n">
        <f aca="false">P16-Q16-R16-S16</f>
        <v>5450.972</v>
      </c>
      <c r="U16" s="18" t="n">
        <f aca="false">U15+T16</f>
        <v>34444.55</v>
      </c>
      <c r="V16" s="18" t="n">
        <f aca="false">L16*Ipotesi!$B$20+IF(A16&gt;Ipotesi!$B$21,INDEX($L$5:$L$40,A16-Ipotesi!$B$21)*(1-Ipotesi!$B$20),0)+M16+N16+O16</f>
        <v>10426.68</v>
      </c>
      <c r="W16" s="18" t="n">
        <f aca="false">V16-Q16-S16</f>
        <v>6930.532</v>
      </c>
      <c r="X16" s="18" t="n">
        <f aca="false">X15+W16</f>
        <v>20550.95</v>
      </c>
      <c r="Y16" s="45" t="n">
        <f aca="false">IF(U16&gt;=0,A16,999)</f>
        <v>12</v>
      </c>
      <c r="Z16" s="20" t="n">
        <f aca="false">F16*SUMPRODUCT((Social!$C$6:$C$11&lt;=A16)*Social!$B$6:$B$11*Social!$I$6:$I$11)</f>
        <v>5.94</v>
      </c>
      <c r="AA16" s="20" t="n">
        <f aca="false">Z16*Ipotesi!$C$50</f>
        <v>2.376</v>
      </c>
      <c r="AB16" s="20" t="n">
        <f aca="false">AA16*Ipotesi!$C$51</f>
        <v>1.4256</v>
      </c>
      <c r="AC16" s="20" t="n">
        <f aca="false">MIN(AB16,MAX(0,I16-J16))</f>
        <v>1.4256</v>
      </c>
      <c r="AD16" s="18" t="n">
        <f aca="false">AC16*Ipotesi!$B$37+(AA16-AC16)*Ipotesi!$B$19</f>
        <v>2996.136</v>
      </c>
      <c r="AE16" s="18" t="n">
        <f aca="false">SUMPRODUCT((Social!$C$6:$C$11&lt;=A16)*Social!$J$6:$J$11)</f>
        <v>920</v>
      </c>
      <c r="AF16" s="18" t="n">
        <f aca="false">SUMPRODUCT((Social!$C$6:$C$11&lt;=A16)*Social!$K$6:$K$11)</f>
        <v>433.333333333333</v>
      </c>
      <c r="AG16" s="18" t="n">
        <f aca="false">AC16*IF(A16&lt;=12,Ipotesi!$B$38,Ipotesi!$B$39)*Ipotesi!$B$22</f>
        <v>862.8444</v>
      </c>
      <c r="AH16" s="18" t="n">
        <f aca="false">AD16-AE16-AF16-AG16</f>
        <v>779.958266666667</v>
      </c>
      <c r="AI16" s="18" t="n">
        <f aca="false">AI15+AH16</f>
        <v>2308.92945</v>
      </c>
      <c r="AJ16" s="18" t="n">
        <f aca="false">U16+AI16</f>
        <v>36753.47945</v>
      </c>
      <c r="AK16" s="18" t="n">
        <f aca="false">AC16*Ipotesi!$B$37*Ipotesi!$B$20+IF(A16&gt;Ipotesi!$B$21,INDEX($AC$5:$AC$40,A16-Ipotesi!$B$21)*Ipotesi!$B$37*(1-Ipotesi!$B$20),0)+(AA16-AC16)*Ipotesi!$B$19</f>
        <v>3128.004</v>
      </c>
      <c r="AL16" s="18" t="n">
        <f aca="false">X16+SUM($AK$5:AK16)-SUM($AE$5:AE16)-SUM($AG$5:AG16)</f>
        <v>19107.79945</v>
      </c>
      <c r="AM16" s="45" t="n">
        <f aca="false">IF(AJ16&gt;=0,A16,999)</f>
        <v>12</v>
      </c>
    </row>
    <row r="17" customFormat="false" ht="15" hidden="false" customHeight="false" outlineLevel="0" collapsed="false">
      <c r="A17" s="25" t="n">
        <v>13</v>
      </c>
      <c r="B17" s="45" t="n">
        <f aca="false">INT((A17-1)/12)+1</f>
        <v>2</v>
      </c>
      <c r="C17" s="45" t="n">
        <f aca="false">MOD(Ipotesi!$B$7-1+A17-1,12)+1</f>
        <v>11</v>
      </c>
      <c r="D17" s="46" t="n">
        <f aca="false">INDEX(Ipotesi!$B$58:$B$69,C17)</f>
        <v>1</v>
      </c>
      <c r="E17" s="45" t="n">
        <f aca="false">Ipotesi!$C$47*MIN(1,(A17/Ipotesi!$B$18)^2)*(1+Ipotesi!$C$48)^(MAX(0,A17-12)/12)*D17</f>
        <v>6170.61693435817</v>
      </c>
      <c r="F17" s="20" t="n">
        <f aca="false">E17*Ipotesi!$C$49</f>
        <v>18.5118508030745</v>
      </c>
      <c r="G17" s="20" t="n">
        <f aca="false">F17*Ipotesi!$C$50</f>
        <v>7.4047403212298</v>
      </c>
      <c r="H17" s="20" t="n">
        <f aca="false">G17*Ipotesi!$C$51</f>
        <v>4.44284419273788</v>
      </c>
      <c r="I17" s="20" t="n">
        <f aca="false">IF(A17&lt;=12,Ipotesi!$B$42,Ipotesi!$B$43)</f>
        <v>10.0418410041841</v>
      </c>
      <c r="J17" s="20" t="n">
        <f aca="false">MIN(H17,I17)</f>
        <v>4.44284419273788</v>
      </c>
      <c r="K17" s="20" t="n">
        <f aca="false">H17-J17</f>
        <v>0</v>
      </c>
      <c r="L17" s="18" t="n">
        <f aca="false">J17*Ipotesi!$B$37</f>
        <v>9041.18793222159</v>
      </c>
      <c r="M17" s="18" t="n">
        <f aca="false">(G17-J17)*Ipotesi!$B$19</f>
        <v>296.189612849192</v>
      </c>
      <c r="N17" s="18" t="n">
        <f aca="false">IF(A17&gt;=Ipotesi!$B$26,Ipotesi!$C$52*Ipotesi!$B$25/12,0)</f>
        <v>500</v>
      </c>
      <c r="O17" s="18" t="n">
        <f aca="false">IF(A17&gt;=Ipotesi!$B$27,Ipotesi!$C$53,0)</f>
        <v>0</v>
      </c>
      <c r="P17" s="18" t="n">
        <f aca="false">SUM(L17:O17)</f>
        <v>9837.37754507078</v>
      </c>
      <c r="Q17" s="18" t="n">
        <f aca="false">IF(A17=1,Ipotesi!$B$10+Ipotesi!$B$11,0)+Ipotesi!$B$8*Ipotesi!$B$9+Ipotesi!$B$12+Ipotesi!$B$13+Ipotesi!$B$16*52/12*Ipotesi!$B$17</f>
        <v>620</v>
      </c>
      <c r="R17" s="18" t="n">
        <f aca="false">Ipotesi!$B$14*52/12*Ipotesi!$B$15</f>
        <v>1040</v>
      </c>
      <c r="S17" s="18" t="n">
        <f aca="false">J17*IF(A17&lt;=12,Ipotesi!$B$38,Ipotesi!$B$39)*Ipotesi!$B$22</f>
        <v>2389.1394646448</v>
      </c>
      <c r="T17" s="18" t="n">
        <f aca="false">P17-Q17-R17-S17</f>
        <v>5788.23808042599</v>
      </c>
      <c r="U17" s="18" t="n">
        <f aca="false">U16+T17</f>
        <v>40232.788080426</v>
      </c>
      <c r="V17" s="18" t="n">
        <f aca="false">L17*Ipotesi!$B$20+IF(A17&gt;Ipotesi!$B$21,INDEX($L$5:$L$40,A17-Ipotesi!$B$21)*(1-Ipotesi!$B$20),0)+M17+N17+O17</f>
        <v>10151.94357896</v>
      </c>
      <c r="W17" s="18" t="n">
        <f aca="false">V17-Q17-S17</f>
        <v>7142.80411431519</v>
      </c>
      <c r="X17" s="18" t="n">
        <f aca="false">X16+W17</f>
        <v>27693.7541143152</v>
      </c>
      <c r="Y17" s="45" t="n">
        <f aca="false">IF(U17&gt;=0,A17,999)</f>
        <v>13</v>
      </c>
      <c r="Z17" s="20" t="n">
        <f aca="false">F17*SUMPRODUCT((Social!$C$6:$C$11&lt;=A17)*Social!$B$6:$B$11*Social!$I$6:$I$11)</f>
        <v>5.55355524092235</v>
      </c>
      <c r="AA17" s="20" t="n">
        <f aca="false">Z17*Ipotesi!$C$50</f>
        <v>2.22142209636894</v>
      </c>
      <c r="AB17" s="20" t="n">
        <f aca="false">AA17*Ipotesi!$C$51</f>
        <v>1.33285325782136</v>
      </c>
      <c r="AC17" s="20" t="n">
        <f aca="false">MIN(AB17,MAX(0,I17-J17))</f>
        <v>1.33285325782136</v>
      </c>
      <c r="AD17" s="18" t="n">
        <f aca="false">AC17*Ipotesi!$B$37+(AA17-AC17)*Ipotesi!$B$19</f>
        <v>2801.21326352123</v>
      </c>
      <c r="AE17" s="18" t="n">
        <f aca="false">SUMPRODUCT((Social!$C$6:$C$11&lt;=A17)*Social!$J$6:$J$11)</f>
        <v>920</v>
      </c>
      <c r="AF17" s="18" t="n">
        <f aca="false">SUMPRODUCT((Social!$C$6:$C$11&lt;=A17)*Social!$K$6:$K$11)</f>
        <v>433.333333333333</v>
      </c>
      <c r="AG17" s="18" t="n">
        <f aca="false">AC17*IF(A17&lt;=12,Ipotesi!$B$38,Ipotesi!$B$39)*Ipotesi!$B$22</f>
        <v>716.741839393439</v>
      </c>
      <c r="AH17" s="18" t="n">
        <f aca="false">AD17-AE17-AF17-AG17</f>
        <v>731.138090794462</v>
      </c>
      <c r="AI17" s="18" t="n">
        <f aca="false">AI16+AH17</f>
        <v>3040.06754079447</v>
      </c>
      <c r="AJ17" s="18" t="n">
        <f aca="false">U17+AI17</f>
        <v>43272.8556212205</v>
      </c>
      <c r="AK17" s="18" t="n">
        <f aca="false">AC17*Ipotesi!$B$37*Ipotesi!$B$20+IF(A17&gt;Ipotesi!$B$21,INDEX($AC$5:$AC$40,A17-Ipotesi!$B$21)*Ipotesi!$B$37*(1-Ipotesi!$B$20),0)+(AA17-AC17)*Ipotesi!$B$19</f>
        <v>2895.583073688</v>
      </c>
      <c r="AL17" s="18" t="n">
        <f aca="false">X17+SUM($AK$5:AK17)-SUM($AE$5:AE17)-SUM($AG$5:AG17)</f>
        <v>27509.4447986098</v>
      </c>
      <c r="AM17" s="45" t="n">
        <f aca="false">IF(AJ17&gt;=0,A17,999)</f>
        <v>13</v>
      </c>
    </row>
    <row r="18" customFormat="false" ht="15" hidden="false" customHeight="false" outlineLevel="0" collapsed="false">
      <c r="A18" s="25" t="n">
        <v>14</v>
      </c>
      <c r="B18" s="45" t="n">
        <f aca="false">INT((A18-1)/12)+1</f>
        <v>2</v>
      </c>
      <c r="C18" s="45" t="n">
        <f aca="false">MOD(Ipotesi!$B$7-1+A18-1,12)+1</f>
        <v>12</v>
      </c>
      <c r="D18" s="46" t="n">
        <f aca="false">INDEX(Ipotesi!$B$58:$B$69,C18)</f>
        <v>0.8</v>
      </c>
      <c r="E18" s="45" t="n">
        <f aca="false">Ipotesi!$C$47*MIN(1,(A18/Ipotesi!$B$18)^2)*(1+Ipotesi!$C$48)^(MAX(0,A18-12)/12)*D18</f>
        <v>5076.86844674504</v>
      </c>
      <c r="F18" s="20" t="n">
        <f aca="false">E18*Ipotesi!$C$49</f>
        <v>15.2306053402351</v>
      </c>
      <c r="G18" s="20" t="n">
        <f aca="false">F18*Ipotesi!$C$50</f>
        <v>6.09224213609405</v>
      </c>
      <c r="H18" s="20" t="n">
        <f aca="false">G18*Ipotesi!$C$51</f>
        <v>3.65534528165643</v>
      </c>
      <c r="I18" s="20" t="n">
        <f aca="false">IF(A18&lt;=12,Ipotesi!$B$42,Ipotesi!$B$43)</f>
        <v>10.0418410041841</v>
      </c>
      <c r="J18" s="20" t="n">
        <f aca="false">MIN(H18,I18)</f>
        <v>3.65534528165643</v>
      </c>
      <c r="K18" s="20" t="n">
        <f aca="false">H18-J18</f>
        <v>0</v>
      </c>
      <c r="L18" s="18" t="n">
        <f aca="false">J18*Ipotesi!$B$37</f>
        <v>7438.62764817083</v>
      </c>
      <c r="M18" s="18" t="n">
        <f aca="false">(G18-J18)*Ipotesi!$B$19</f>
        <v>243.689685443762</v>
      </c>
      <c r="N18" s="18" t="n">
        <f aca="false">IF(A18&gt;=Ipotesi!$B$26,Ipotesi!$C$52*Ipotesi!$B$25/12,0)</f>
        <v>500</v>
      </c>
      <c r="O18" s="18" t="n">
        <f aca="false">IF(A18&gt;=Ipotesi!$B$27,Ipotesi!$C$53,0)</f>
        <v>0</v>
      </c>
      <c r="P18" s="18" t="n">
        <f aca="false">SUM(L18:O18)</f>
        <v>8182.31733361459</v>
      </c>
      <c r="Q18" s="18" t="n">
        <f aca="false">IF(A18=1,Ipotesi!$B$10+Ipotesi!$B$11,0)+Ipotesi!$B$8*Ipotesi!$B$9+Ipotesi!$B$12+Ipotesi!$B$13+Ipotesi!$B$16*52/12*Ipotesi!$B$17</f>
        <v>620</v>
      </c>
      <c r="R18" s="18" t="n">
        <f aca="false">Ipotesi!$B$14*52/12*Ipotesi!$B$15</f>
        <v>1040</v>
      </c>
      <c r="S18" s="18" t="n">
        <f aca="false">J18*IF(A18&lt;=12,Ipotesi!$B$38,Ipotesi!$B$39)*Ipotesi!$B$22</f>
        <v>1965.66192521074</v>
      </c>
      <c r="T18" s="18" t="n">
        <f aca="false">P18-Q18-R18-S18</f>
        <v>4556.65540840385</v>
      </c>
      <c r="U18" s="18" t="n">
        <f aca="false">U17+T18</f>
        <v>44789.4434888298</v>
      </c>
      <c r="V18" s="18" t="n">
        <f aca="false">L18*Ipotesi!$B$20+IF(A18&gt;Ipotesi!$B$21,INDEX($L$5:$L$40,A18-Ipotesi!$B$21)*(1-Ipotesi!$B$20),0)+M18+N18+O18</f>
        <v>8858.60350952918</v>
      </c>
      <c r="W18" s="18" t="n">
        <f aca="false">V18-Q18-S18</f>
        <v>6272.94158431843</v>
      </c>
      <c r="X18" s="18" t="n">
        <f aca="false">X17+W18</f>
        <v>33966.6956986336</v>
      </c>
      <c r="Y18" s="45" t="n">
        <f aca="false">IF(U18&gt;=0,A18,999)</f>
        <v>14</v>
      </c>
      <c r="Z18" s="20" t="n">
        <f aca="false">F18*SUMPRODUCT((Social!$C$6:$C$11&lt;=A18)*Social!$B$6:$B$11*Social!$I$6:$I$11)</f>
        <v>4.56918160207053</v>
      </c>
      <c r="AA18" s="20" t="n">
        <f aca="false">Z18*Ipotesi!$C$50</f>
        <v>1.82767264082821</v>
      </c>
      <c r="AB18" s="20" t="n">
        <f aca="false">AA18*Ipotesi!$C$51</f>
        <v>1.09660358449693</v>
      </c>
      <c r="AC18" s="20" t="n">
        <f aca="false">MIN(AB18,MAX(0,I18-J18))</f>
        <v>1.09660358449693</v>
      </c>
      <c r="AD18" s="18" t="n">
        <f aca="false">AC18*Ipotesi!$B$37+(AA18-AC18)*Ipotesi!$B$19</f>
        <v>2304.69520008438</v>
      </c>
      <c r="AE18" s="18" t="n">
        <f aca="false">SUMPRODUCT((Social!$C$6:$C$11&lt;=A18)*Social!$J$6:$J$11)</f>
        <v>920</v>
      </c>
      <c r="AF18" s="18" t="n">
        <f aca="false">SUMPRODUCT((Social!$C$6:$C$11&lt;=A18)*Social!$K$6:$K$11)</f>
        <v>433.333333333333</v>
      </c>
      <c r="AG18" s="18" t="n">
        <f aca="false">AC18*IF(A18&lt;=12,Ipotesi!$B$38,Ipotesi!$B$39)*Ipotesi!$B$22</f>
        <v>589.698577563223</v>
      </c>
      <c r="AH18" s="18" t="n">
        <f aca="false">AD18-AE18-AF18-AG18</f>
        <v>361.663289187821</v>
      </c>
      <c r="AI18" s="18" t="n">
        <f aca="false">AI17+AH18</f>
        <v>3401.73082998229</v>
      </c>
      <c r="AJ18" s="18" t="n">
        <f aca="false">U18+AI18</f>
        <v>48191.1743188121</v>
      </c>
      <c r="AK18" s="18" t="n">
        <f aca="false">AC18*Ipotesi!$B$37*Ipotesi!$B$20+IF(A18&gt;Ipotesi!$B$21,INDEX($AC$5:$AC$40,A18-Ipotesi!$B$21)*Ipotesi!$B$37*(1-Ipotesi!$B$20),0)+(AA18-AC18)*Ipotesi!$B$19</f>
        <v>2507.58105285875</v>
      </c>
      <c r="AL18" s="18" t="n">
        <f aca="false">X18+SUM($AK$5:AK18)-SUM($AE$5:AE18)-SUM($AG$5:AG18)</f>
        <v>34780.2688582237</v>
      </c>
      <c r="AM18" s="45" t="n">
        <f aca="false">IF(AJ18&gt;=0,A18,999)</f>
        <v>14</v>
      </c>
    </row>
    <row r="19" customFormat="false" ht="15" hidden="false" customHeight="false" outlineLevel="0" collapsed="false">
      <c r="A19" s="25" t="n">
        <v>15</v>
      </c>
      <c r="B19" s="45" t="n">
        <f aca="false">INT((A19-1)/12)+1</f>
        <v>2</v>
      </c>
      <c r="C19" s="45" t="n">
        <f aca="false">MOD(Ipotesi!$B$7-1+A19-1,12)+1</f>
        <v>1</v>
      </c>
      <c r="D19" s="46" t="n">
        <f aca="false">INDEX(Ipotesi!$B$58:$B$69,C19)</f>
        <v>0.9</v>
      </c>
      <c r="E19" s="45" t="n">
        <f aca="false">Ipotesi!$C$47*MIN(1,(A19/Ipotesi!$B$18)^2)*(1+Ipotesi!$C$48)^(MAX(0,A19-12)/12)*D19</f>
        <v>5873.8894520613</v>
      </c>
      <c r="F19" s="20" t="n">
        <f aca="false">E19*Ipotesi!$C$49</f>
        <v>17.6216683561839</v>
      </c>
      <c r="G19" s="20" t="n">
        <f aca="false">F19*Ipotesi!$C$50</f>
        <v>7.04866734247356</v>
      </c>
      <c r="H19" s="20" t="n">
        <f aca="false">G19*Ipotesi!$C$51</f>
        <v>4.22920040548413</v>
      </c>
      <c r="I19" s="20" t="n">
        <f aca="false">IF(A19&lt;=12,Ipotesi!$B$42,Ipotesi!$B$43)</f>
        <v>10.0418410041841</v>
      </c>
      <c r="J19" s="20" t="n">
        <f aca="false">MIN(H19,I19)</f>
        <v>4.22920040548413</v>
      </c>
      <c r="K19" s="20" t="n">
        <f aca="false">H19-J19</f>
        <v>0</v>
      </c>
      <c r="L19" s="18" t="n">
        <f aca="false">J19*Ipotesi!$B$37</f>
        <v>8606.42282516021</v>
      </c>
      <c r="M19" s="18" t="n">
        <f aca="false">(G19-J19)*Ipotesi!$B$19</f>
        <v>281.946693698942</v>
      </c>
      <c r="N19" s="18" t="n">
        <f aca="false">IF(A19&gt;=Ipotesi!$B$26,Ipotesi!$C$52*Ipotesi!$B$25/12,0)</f>
        <v>500</v>
      </c>
      <c r="O19" s="18" t="n">
        <f aca="false">IF(A19&gt;=Ipotesi!$B$27,Ipotesi!$C$53,0)</f>
        <v>0</v>
      </c>
      <c r="P19" s="18" t="n">
        <f aca="false">SUM(L19:O19)</f>
        <v>9388.36951885916</v>
      </c>
      <c r="Q19" s="18" t="n">
        <f aca="false">IF(A19=1,Ipotesi!$B$10+Ipotesi!$B$11,0)+Ipotesi!$B$8*Ipotesi!$B$9+Ipotesi!$B$12+Ipotesi!$B$13+Ipotesi!$B$16*52/12*Ipotesi!$B$17</f>
        <v>620</v>
      </c>
      <c r="R19" s="18" t="n">
        <f aca="false">Ipotesi!$B$14*52/12*Ipotesi!$B$15</f>
        <v>1040</v>
      </c>
      <c r="S19" s="18" t="n">
        <f aca="false">J19*IF(A19&lt;=12,Ipotesi!$B$38,Ipotesi!$B$39)*Ipotesi!$B$22</f>
        <v>2274.25251804909</v>
      </c>
      <c r="T19" s="18" t="n">
        <f aca="false">P19-Q19-R19-S19</f>
        <v>5454.11700081006</v>
      </c>
      <c r="U19" s="18" t="n">
        <f aca="false">U18+T19</f>
        <v>50243.5604896399</v>
      </c>
      <c r="V19" s="18" t="n">
        <f aca="false">L19*Ipotesi!$B$20+IF(A19&gt;Ipotesi!$B$21,INDEX($L$5:$L$40,A19-Ipotesi!$B$21)*(1-Ipotesi!$B$20),0)+M19+N19+O19</f>
        <v>9480.75810627905</v>
      </c>
      <c r="W19" s="18" t="n">
        <f aca="false">V19-Q19-S19</f>
        <v>6586.50558822996</v>
      </c>
      <c r="X19" s="18" t="n">
        <f aca="false">X18+W19</f>
        <v>40553.2012868636</v>
      </c>
      <c r="Y19" s="45" t="n">
        <f aca="false">IF(U19&gt;=0,A19,999)</f>
        <v>15</v>
      </c>
      <c r="Z19" s="20" t="n">
        <f aca="false">F19*SUMPRODUCT((Social!$C$6:$C$11&lt;=A19)*Social!$B$6:$B$11*Social!$I$6:$I$11)</f>
        <v>5.28650050685517</v>
      </c>
      <c r="AA19" s="20" t="n">
        <f aca="false">Z19*Ipotesi!$C$50</f>
        <v>2.11460020274207</v>
      </c>
      <c r="AB19" s="20" t="n">
        <f aca="false">AA19*Ipotesi!$C$51</f>
        <v>1.26876012164524</v>
      </c>
      <c r="AC19" s="20" t="n">
        <f aca="false">MIN(AB19,MAX(0,I19-J19))</f>
        <v>1.26876012164524</v>
      </c>
      <c r="AD19" s="18" t="n">
        <f aca="false">AC19*Ipotesi!$B$37+(AA19-AC19)*Ipotesi!$B$19</f>
        <v>2666.51085565775</v>
      </c>
      <c r="AE19" s="18" t="n">
        <f aca="false">SUMPRODUCT((Social!$C$6:$C$11&lt;=A19)*Social!$J$6:$J$11)</f>
        <v>920</v>
      </c>
      <c r="AF19" s="18" t="n">
        <f aca="false">SUMPRODUCT((Social!$C$6:$C$11&lt;=A19)*Social!$K$6:$K$11)</f>
        <v>433.333333333333</v>
      </c>
      <c r="AG19" s="18" t="n">
        <f aca="false">AC19*IF(A19&lt;=12,Ipotesi!$B$38,Ipotesi!$B$39)*Ipotesi!$B$22</f>
        <v>682.275755414728</v>
      </c>
      <c r="AH19" s="18" t="n">
        <f aca="false">AD19-AE19-AF19-AG19</f>
        <v>630.901766909685</v>
      </c>
      <c r="AI19" s="18" t="n">
        <f aca="false">AI18+AH19</f>
        <v>4032.63259689197</v>
      </c>
      <c r="AJ19" s="18" t="n">
        <f aca="false">U19+AI19</f>
        <v>54276.1930865319</v>
      </c>
      <c r="AK19" s="18" t="n">
        <f aca="false">AC19*Ipotesi!$B$37*Ipotesi!$B$20+IF(A19&gt;Ipotesi!$B$21,INDEX($AC$5:$AC$40,A19-Ipotesi!$B$21)*Ipotesi!$B$37*(1-Ipotesi!$B$20),0)+(AA19-AC19)*Ipotesi!$B$19</f>
        <v>2694.22743188371</v>
      </c>
      <c r="AL19" s="18" t="n">
        <f aca="false">X19+SUM($AK$5:AK19)-SUM($AE$5:AE19)-SUM($AG$5:AG19)</f>
        <v>42458.7261229227</v>
      </c>
      <c r="AM19" s="45" t="n">
        <f aca="false">IF(AJ19&gt;=0,A19,999)</f>
        <v>15</v>
      </c>
    </row>
    <row r="20" customFormat="false" ht="15" hidden="false" customHeight="false" outlineLevel="0" collapsed="false">
      <c r="A20" s="25" t="n">
        <v>16</v>
      </c>
      <c r="B20" s="45" t="n">
        <f aca="false">INT((A20-1)/12)+1</f>
        <v>2</v>
      </c>
      <c r="C20" s="45" t="n">
        <f aca="false">MOD(Ipotesi!$B$7-1+A20-1,12)+1</f>
        <v>2</v>
      </c>
      <c r="D20" s="46" t="n">
        <f aca="false">INDEX(Ipotesi!$B$58:$B$69,C20)</f>
        <v>1</v>
      </c>
      <c r="E20" s="45" t="n">
        <f aca="false">Ipotesi!$C$47*MIN(1,(A20/Ipotesi!$B$18)^2)*(1+Ipotesi!$C$48)^(MAX(0,A20-12)/12)*D20</f>
        <v>6712.13365248838</v>
      </c>
      <c r="F20" s="20" t="n">
        <f aca="false">E20*Ipotesi!$C$49</f>
        <v>20.1364009574651</v>
      </c>
      <c r="G20" s="20" t="n">
        <f aca="false">F20*Ipotesi!$C$50</f>
        <v>8.05456038298606</v>
      </c>
      <c r="H20" s="20" t="n">
        <f aca="false">G20*Ipotesi!$C$51</f>
        <v>4.83273622979163</v>
      </c>
      <c r="I20" s="20" t="n">
        <f aca="false">IF(A20&lt;=12,Ipotesi!$B$42,Ipotesi!$B$43)</f>
        <v>10.0418410041841</v>
      </c>
      <c r="J20" s="20" t="n">
        <f aca="false">MIN(H20,I20)</f>
        <v>4.83273622979163</v>
      </c>
      <c r="K20" s="20" t="n">
        <f aca="false">H20-J20</f>
        <v>0</v>
      </c>
      <c r="L20" s="18" t="n">
        <f aca="false">J20*Ipotesi!$B$37</f>
        <v>9834.61822762598</v>
      </c>
      <c r="M20" s="18" t="n">
        <f aca="false">(G20-J20)*Ipotesi!$B$19</f>
        <v>322.182415319442</v>
      </c>
      <c r="N20" s="18" t="n">
        <f aca="false">IF(A20&gt;=Ipotesi!$B$26,Ipotesi!$C$52*Ipotesi!$B$25/12,0)</f>
        <v>500</v>
      </c>
      <c r="O20" s="18" t="n">
        <f aca="false">IF(A20&gt;=Ipotesi!$B$27,Ipotesi!$C$53,0)</f>
        <v>0</v>
      </c>
      <c r="P20" s="18" t="n">
        <f aca="false">SUM(L20:O20)</f>
        <v>10656.8006429454</v>
      </c>
      <c r="Q20" s="18" t="n">
        <f aca="false">IF(A20=1,Ipotesi!$B$10+Ipotesi!$B$11,0)+Ipotesi!$B$8*Ipotesi!$B$9+Ipotesi!$B$12+Ipotesi!$B$13+Ipotesi!$B$16*52/12*Ipotesi!$B$17</f>
        <v>620</v>
      </c>
      <c r="R20" s="18" t="n">
        <f aca="false">Ipotesi!$B$14*52/12*Ipotesi!$B$15</f>
        <v>1040</v>
      </c>
      <c r="S20" s="18" t="n">
        <f aca="false">J20*IF(A20&lt;=12,Ipotesi!$B$38,Ipotesi!$B$39)*Ipotesi!$B$22</f>
        <v>2598.80390757045</v>
      </c>
      <c r="T20" s="18" t="n">
        <f aca="false">P20-Q20-R20-S20</f>
        <v>6397.99673537497</v>
      </c>
      <c r="U20" s="18" t="n">
        <f aca="false">U19+T20</f>
        <v>56641.5572250149</v>
      </c>
      <c r="V20" s="18" t="n">
        <f aca="false">L20*Ipotesi!$B$20+IF(A20&gt;Ipotesi!$B$21,INDEX($L$5:$L$40,A20-Ipotesi!$B$21)*(1-Ipotesi!$B$20),0)+M20+N20+O20</f>
        <v>8816.41152913243</v>
      </c>
      <c r="W20" s="18" t="n">
        <f aca="false">V20-Q20-S20</f>
        <v>5597.60762156198</v>
      </c>
      <c r="X20" s="18" t="n">
        <f aca="false">X19+W20</f>
        <v>46150.8089084256</v>
      </c>
      <c r="Y20" s="45" t="n">
        <f aca="false">IF(U20&gt;=0,A20,999)</f>
        <v>16</v>
      </c>
      <c r="Z20" s="20" t="n">
        <f aca="false">F20*SUMPRODUCT((Social!$C$6:$C$11&lt;=A20)*Social!$B$6:$B$11*Social!$I$6:$I$11)</f>
        <v>6.04092028723954</v>
      </c>
      <c r="AA20" s="20" t="n">
        <f aca="false">Z20*Ipotesi!$C$50</f>
        <v>2.41636811489582</v>
      </c>
      <c r="AB20" s="20" t="n">
        <f aca="false">AA20*Ipotesi!$C$51</f>
        <v>1.44982086893749</v>
      </c>
      <c r="AC20" s="20" t="n">
        <f aca="false">MIN(AB20,MAX(0,I20-J20))</f>
        <v>1.44982086893749</v>
      </c>
      <c r="AD20" s="18" t="n">
        <f aca="false">AC20*Ipotesi!$B$37+(AA20-AC20)*Ipotesi!$B$19</f>
        <v>3047.04019288363</v>
      </c>
      <c r="AE20" s="18" t="n">
        <f aca="false">SUMPRODUCT((Social!$C$6:$C$11&lt;=A20)*Social!$J$6:$J$11)</f>
        <v>920</v>
      </c>
      <c r="AF20" s="18" t="n">
        <f aca="false">SUMPRODUCT((Social!$C$6:$C$11&lt;=A20)*Social!$K$6:$K$11)</f>
        <v>433.333333333333</v>
      </c>
      <c r="AG20" s="18" t="n">
        <f aca="false">AC20*IF(A20&lt;=12,Ipotesi!$B$38,Ipotesi!$B$39)*Ipotesi!$B$22</f>
        <v>779.641172271135</v>
      </c>
      <c r="AH20" s="18" t="n">
        <f aca="false">AD20-AE20-AF20-AG20</f>
        <v>914.065687279157</v>
      </c>
      <c r="AI20" s="18" t="n">
        <f aca="false">AI19+AH20</f>
        <v>4946.69828417113</v>
      </c>
      <c r="AJ20" s="18" t="n">
        <f aca="false">U20+AI20</f>
        <v>61588.255509186</v>
      </c>
      <c r="AK20" s="18" t="n">
        <f aca="false">AC20*Ipotesi!$B$37*Ipotesi!$B$20+IF(A20&gt;Ipotesi!$B$21,INDEX($AC$5:$AC$40,A20-Ipotesi!$B$21)*Ipotesi!$B$37*(1-Ipotesi!$B$20),0)+(AA20-AC20)*Ipotesi!$B$19</f>
        <v>2494.92345873973</v>
      </c>
      <c r="AL20" s="18" t="n">
        <f aca="false">X20+SUM($AK$5:AK20)-SUM($AE$5:AE20)-SUM($AG$5:AG20)</f>
        <v>48851.6160309532</v>
      </c>
      <c r="AM20" s="45" t="n">
        <f aca="false">IF(AJ20&gt;=0,A20,999)</f>
        <v>16</v>
      </c>
    </row>
    <row r="21" customFormat="false" ht="15" hidden="false" customHeight="false" outlineLevel="0" collapsed="false">
      <c r="A21" s="25" t="n">
        <v>17</v>
      </c>
      <c r="B21" s="45" t="n">
        <f aca="false">INT((A21-1)/12)+1</f>
        <v>2</v>
      </c>
      <c r="C21" s="45" t="n">
        <f aca="false">MOD(Ipotesi!$B$7-1+A21-1,12)+1</f>
        <v>3</v>
      </c>
      <c r="D21" s="46" t="n">
        <f aca="false">INDEX(Ipotesi!$B$58:$B$69,C21)</f>
        <v>1.1</v>
      </c>
      <c r="E21" s="45" t="n">
        <f aca="false">Ipotesi!$C$47*MIN(1,(A21/Ipotesi!$B$18)^2)*(1+Ipotesi!$C$48)^(MAX(0,A21-12)/12)*D21</f>
        <v>7593.30102331536</v>
      </c>
      <c r="F21" s="20" t="n">
        <f aca="false">E21*Ipotesi!$C$49</f>
        <v>22.7799030699461</v>
      </c>
      <c r="G21" s="20" t="n">
        <f aca="false">F21*Ipotesi!$C$50</f>
        <v>9.11196122797843</v>
      </c>
      <c r="H21" s="20" t="n">
        <f aca="false">G21*Ipotesi!$C$51</f>
        <v>5.46717673678706</v>
      </c>
      <c r="I21" s="20" t="n">
        <f aca="false">IF(A21&lt;=12,Ipotesi!$B$42,Ipotesi!$B$43)</f>
        <v>10.0418410041841</v>
      </c>
      <c r="J21" s="20" t="n">
        <f aca="false">MIN(H21,I21)</f>
        <v>5.46717673678706</v>
      </c>
      <c r="K21" s="20" t="n">
        <f aca="false">H21-J21</f>
        <v>0</v>
      </c>
      <c r="L21" s="18" t="n">
        <f aca="false">J21*Ipotesi!$B$37</f>
        <v>11125.7046593617</v>
      </c>
      <c r="M21" s="18" t="n">
        <f aca="false">(G21-J21)*Ipotesi!$B$19</f>
        <v>364.478449119137</v>
      </c>
      <c r="N21" s="18" t="n">
        <f aca="false">IF(A21&gt;=Ipotesi!$B$26,Ipotesi!$C$52*Ipotesi!$B$25/12,0)</f>
        <v>500</v>
      </c>
      <c r="O21" s="18" t="n">
        <f aca="false">IF(A21&gt;=Ipotesi!$B$27,Ipotesi!$C$53,0)</f>
        <v>0</v>
      </c>
      <c r="P21" s="18" t="n">
        <f aca="false">SUM(L21:O21)</f>
        <v>11990.1831084808</v>
      </c>
      <c r="Q21" s="18" t="n">
        <f aca="false">IF(A21=1,Ipotesi!$B$10+Ipotesi!$B$11,0)+Ipotesi!$B$8*Ipotesi!$B$9+Ipotesi!$B$12+Ipotesi!$B$13+Ipotesi!$B$16*52/12*Ipotesi!$B$17</f>
        <v>620</v>
      </c>
      <c r="R21" s="18" t="n">
        <f aca="false">Ipotesi!$B$14*52/12*Ipotesi!$B$15</f>
        <v>1040</v>
      </c>
      <c r="S21" s="18" t="n">
        <f aca="false">J21*IF(A21&lt;=12,Ipotesi!$B$38,Ipotesi!$B$39)*Ipotesi!$B$22</f>
        <v>2939.97429020724</v>
      </c>
      <c r="T21" s="18" t="n">
        <f aca="false">P21-Q21-R21-S21</f>
        <v>7390.20881827356</v>
      </c>
      <c r="U21" s="18" t="n">
        <f aca="false">U20+T21</f>
        <v>64031.7660432884</v>
      </c>
      <c r="V21" s="18" t="n">
        <f aca="false">L21*Ipotesi!$B$20+IF(A21&gt;Ipotesi!$B$21,INDEX($L$5:$L$40,A21-Ipotesi!$B$21)*(1-Ipotesi!$B$20),0)+M21+N21+O21</f>
        <v>11262.4907788</v>
      </c>
      <c r="W21" s="18" t="n">
        <f aca="false">V21-Q21-S21</f>
        <v>7702.51648859273</v>
      </c>
      <c r="X21" s="18" t="n">
        <f aca="false">X20+W21</f>
        <v>53853.3253970183</v>
      </c>
      <c r="Y21" s="45" t="n">
        <f aca="false">IF(U21&gt;=0,A21,999)</f>
        <v>17</v>
      </c>
      <c r="Z21" s="20" t="n">
        <f aca="false">F21*SUMPRODUCT((Social!$C$6:$C$11&lt;=A21)*Social!$B$6:$B$11*Social!$I$6:$I$11)</f>
        <v>6.83397092098382</v>
      </c>
      <c r="AA21" s="20" t="n">
        <f aca="false">Z21*Ipotesi!$C$50</f>
        <v>2.73358836839353</v>
      </c>
      <c r="AB21" s="20" t="n">
        <f aca="false">AA21*Ipotesi!$C$51</f>
        <v>1.64015302103612</v>
      </c>
      <c r="AC21" s="20" t="n">
        <f aca="false">MIN(AB21,MAX(0,I21-J21))</f>
        <v>1.64015302103612</v>
      </c>
      <c r="AD21" s="18" t="n">
        <f aca="false">AC21*Ipotesi!$B$37+(AA21-AC21)*Ipotesi!$B$19</f>
        <v>3447.05493254424</v>
      </c>
      <c r="AE21" s="18" t="n">
        <f aca="false">SUMPRODUCT((Social!$C$6:$C$11&lt;=A21)*Social!$J$6:$J$11)</f>
        <v>920</v>
      </c>
      <c r="AF21" s="18" t="n">
        <f aca="false">SUMPRODUCT((Social!$C$6:$C$11&lt;=A21)*Social!$K$6:$K$11)</f>
        <v>433.333333333333</v>
      </c>
      <c r="AG21" s="18" t="n">
        <f aca="false">AC21*IF(A21&lt;=12,Ipotesi!$B$38,Ipotesi!$B$39)*Ipotesi!$B$22</f>
        <v>881.992287062172</v>
      </c>
      <c r="AH21" s="18" t="n">
        <f aca="false">AD21-AE21-AF21-AG21</f>
        <v>1211.72931214873</v>
      </c>
      <c r="AI21" s="18" t="n">
        <f aca="false">AI20+AH21</f>
        <v>6158.42759631986</v>
      </c>
      <c r="AJ21" s="18" t="n">
        <f aca="false">U21+AI21</f>
        <v>70190.1936396083</v>
      </c>
      <c r="AK21" s="18" t="n">
        <f aca="false">AC21*Ipotesi!$B$37*Ipotesi!$B$20+IF(A21&gt;Ipotesi!$B$21,INDEX($AC$5:$AC$40,A21-Ipotesi!$B$21)*Ipotesi!$B$37*(1-Ipotesi!$B$20),0)+(AA21-AC21)*Ipotesi!$B$19</f>
        <v>3228.74723363999</v>
      </c>
      <c r="AL21" s="18" t="n">
        <f aca="false">X21+SUM($AK$5:AK21)-SUM($AE$5:AE21)-SUM($AG$5:AG21)</f>
        <v>57980.8874661238</v>
      </c>
      <c r="AM21" s="45" t="n">
        <f aca="false">IF(AJ21&gt;=0,A21,999)</f>
        <v>17</v>
      </c>
    </row>
    <row r="22" customFormat="false" ht="15" hidden="false" customHeight="false" outlineLevel="0" collapsed="false">
      <c r="A22" s="25" t="n">
        <v>18</v>
      </c>
      <c r="B22" s="45" t="n">
        <f aca="false">INT((A22-1)/12)+1</f>
        <v>2</v>
      </c>
      <c r="C22" s="45" t="n">
        <f aca="false">MOD(Ipotesi!$B$7-1+A22-1,12)+1</f>
        <v>4</v>
      </c>
      <c r="D22" s="46" t="n">
        <f aca="false">INDEX(Ipotesi!$B$58:$B$69,C22)</f>
        <v>1.2</v>
      </c>
      <c r="E22" s="45" t="n">
        <f aca="false">Ipotesi!$C$47*MIN(1,(A22/Ipotesi!$B$18)^2)*(1+Ipotesi!$C$48)^(MAX(0,A22-12)/12)*D22</f>
        <v>8519.15488766345</v>
      </c>
      <c r="F22" s="20" t="n">
        <f aca="false">E22*Ipotesi!$C$49</f>
        <v>25.5574646629903</v>
      </c>
      <c r="G22" s="20" t="n">
        <f aca="false">F22*Ipotesi!$C$50</f>
        <v>10.2229858651961</v>
      </c>
      <c r="H22" s="20" t="n">
        <f aca="false">G22*Ipotesi!$C$51</f>
        <v>6.13379151911768</v>
      </c>
      <c r="I22" s="20" t="n">
        <f aca="false">IF(A22&lt;=12,Ipotesi!$B$42,Ipotesi!$B$43)</f>
        <v>10.0418410041841</v>
      </c>
      <c r="J22" s="20" t="n">
        <f aca="false">MIN(H22,I22)</f>
        <v>6.13379151911768</v>
      </c>
      <c r="K22" s="20" t="n">
        <f aca="false">H22-J22</f>
        <v>0</v>
      </c>
      <c r="L22" s="18" t="n">
        <f aca="false">J22*Ipotesi!$B$37</f>
        <v>12482.2657414045</v>
      </c>
      <c r="M22" s="18" t="n">
        <f aca="false">(G22-J22)*Ipotesi!$B$19</f>
        <v>408.919434607845</v>
      </c>
      <c r="N22" s="18" t="n">
        <f aca="false">IF(A22&gt;=Ipotesi!$B$26,Ipotesi!$C$52*Ipotesi!$B$25/12,0)</f>
        <v>500</v>
      </c>
      <c r="O22" s="18" t="n">
        <f aca="false">IF(A22&gt;=Ipotesi!$B$27,Ipotesi!$C$53,0)</f>
        <v>0</v>
      </c>
      <c r="P22" s="18" t="n">
        <f aca="false">SUM(L22:O22)</f>
        <v>13391.1851760123</v>
      </c>
      <c r="Q22" s="18" t="n">
        <f aca="false">IF(A22=1,Ipotesi!$B$10+Ipotesi!$B$11,0)+Ipotesi!$B$8*Ipotesi!$B$9+Ipotesi!$B$12+Ipotesi!$B$13+Ipotesi!$B$16*52/12*Ipotesi!$B$17</f>
        <v>620</v>
      </c>
      <c r="R22" s="18" t="n">
        <f aca="false">Ipotesi!$B$14*52/12*Ipotesi!$B$15</f>
        <v>1040</v>
      </c>
      <c r="S22" s="18" t="n">
        <f aca="false">J22*IF(A22&lt;=12,Ipotesi!$B$38,Ipotesi!$B$39)*Ipotesi!$B$22</f>
        <v>3298.44638940553</v>
      </c>
      <c r="T22" s="18" t="n">
        <f aca="false">P22-Q22-R22-S22</f>
        <v>8432.7387866068</v>
      </c>
      <c r="U22" s="18" t="n">
        <f aca="false">U21+T22</f>
        <v>72464.5048298952</v>
      </c>
      <c r="V22" s="18" t="n">
        <f aca="false">L22*Ipotesi!$B$20+IF(A22&gt;Ipotesi!$B$21,INDEX($L$5:$L$40,A22-Ipotesi!$B$21)*(1-Ipotesi!$B$20),0)+M22+N22+O22</f>
        <v>11985.2123053101</v>
      </c>
      <c r="W22" s="18" t="n">
        <f aca="false">V22-Q22-S22</f>
        <v>8066.76591590455</v>
      </c>
      <c r="X22" s="18" t="n">
        <f aca="false">X21+W22</f>
        <v>61920.0913129228</v>
      </c>
      <c r="Y22" s="45" t="n">
        <f aca="false">IF(U22&gt;=0,A22,999)</f>
        <v>18</v>
      </c>
      <c r="Z22" s="20" t="n">
        <f aca="false">F22*SUMPRODUCT((Social!$C$6:$C$11&lt;=A22)*Social!$B$6:$B$11*Social!$I$6:$I$11)</f>
        <v>7.6672393988971</v>
      </c>
      <c r="AA22" s="20" t="n">
        <f aca="false">Z22*Ipotesi!$C$50</f>
        <v>3.06689575955884</v>
      </c>
      <c r="AB22" s="20" t="n">
        <f aca="false">AA22*Ipotesi!$C$51</f>
        <v>1.8401374557353</v>
      </c>
      <c r="AC22" s="20" t="n">
        <f aca="false">MIN(AB22,MAX(0,I22-J22))</f>
        <v>1.8401374557353</v>
      </c>
      <c r="AD22" s="18" t="n">
        <f aca="false">AC22*Ipotesi!$B$37+(AA22-AC22)*Ipotesi!$B$19</f>
        <v>3867.3555528037</v>
      </c>
      <c r="AE22" s="18" t="n">
        <f aca="false">SUMPRODUCT((Social!$C$6:$C$11&lt;=A22)*Social!$J$6:$J$11)</f>
        <v>920</v>
      </c>
      <c r="AF22" s="18" t="n">
        <f aca="false">SUMPRODUCT((Social!$C$6:$C$11&lt;=A22)*Social!$K$6:$K$11)</f>
        <v>433.333333333333</v>
      </c>
      <c r="AG22" s="18" t="n">
        <f aca="false">AC22*IF(A22&lt;=12,Ipotesi!$B$38,Ipotesi!$B$39)*Ipotesi!$B$22</f>
        <v>989.53391682166</v>
      </c>
      <c r="AH22" s="18" t="n">
        <f aca="false">AD22-AE22-AF22-AG22</f>
        <v>1524.4883026487</v>
      </c>
      <c r="AI22" s="18" t="n">
        <f aca="false">AI21+AH22</f>
        <v>7682.91589896857</v>
      </c>
      <c r="AJ22" s="18" t="n">
        <f aca="false">U22+AI22</f>
        <v>80147.4207288638</v>
      </c>
      <c r="AK22" s="18" t="n">
        <f aca="false">AC22*Ipotesi!$B$37*Ipotesi!$B$20+IF(A22&gt;Ipotesi!$B$21,INDEX($AC$5:$AC$40,A22-Ipotesi!$B$21)*Ipotesi!$B$37*(1-Ipotesi!$B$20),0)+(AA22-AC22)*Ipotesi!$B$19</f>
        <v>3445.56369159303</v>
      </c>
      <c r="AL22" s="18" t="n">
        <f aca="false">X22+SUM($AK$5:AK22)-SUM($AE$5:AE22)-SUM($AG$5:AG22)</f>
        <v>67583.6831567997</v>
      </c>
      <c r="AM22" s="45" t="n">
        <f aca="false">IF(AJ22&gt;=0,A22,999)</f>
        <v>18</v>
      </c>
    </row>
    <row r="23" customFormat="false" ht="15" hidden="false" customHeight="false" outlineLevel="0" collapsed="false">
      <c r="A23" s="25" t="n">
        <v>19</v>
      </c>
      <c r="B23" s="45" t="n">
        <f aca="false">INT((A23-1)/12)+1</f>
        <v>2</v>
      </c>
      <c r="C23" s="45" t="n">
        <f aca="false">MOD(Ipotesi!$B$7-1+A23-1,12)+1</f>
        <v>5</v>
      </c>
      <c r="D23" s="46" t="n">
        <f aca="false">INDEX(Ipotesi!$B$58:$B$69,C23)</f>
        <v>1.1</v>
      </c>
      <c r="E23" s="45" t="n">
        <f aca="false">Ipotesi!$C$47*MIN(1,(A23/Ipotesi!$B$18)^2)*(1+Ipotesi!$C$48)^(MAX(0,A23-12)/12)*D23</f>
        <v>8031.28966081387</v>
      </c>
      <c r="F23" s="20" t="n">
        <f aca="false">E23*Ipotesi!$C$49</f>
        <v>24.0938689824416</v>
      </c>
      <c r="G23" s="20" t="n">
        <f aca="false">F23*Ipotesi!$C$50</f>
        <v>9.63754759297664</v>
      </c>
      <c r="H23" s="20" t="n">
        <f aca="false">G23*Ipotesi!$C$51</f>
        <v>5.78252855578598</v>
      </c>
      <c r="I23" s="20" t="n">
        <f aca="false">IF(A23&lt;=12,Ipotesi!$B$42,Ipotesi!$B$43)</f>
        <v>10.0418410041841</v>
      </c>
      <c r="J23" s="20" t="n">
        <f aca="false">MIN(H23,I23)</f>
        <v>5.78252855578598</v>
      </c>
      <c r="K23" s="20" t="n">
        <f aca="false">H23-J23</f>
        <v>0</v>
      </c>
      <c r="L23" s="18" t="n">
        <f aca="false">J23*Ipotesi!$B$37</f>
        <v>11767.4456110245</v>
      </c>
      <c r="M23" s="18" t="n">
        <f aca="false">(G23-J23)*Ipotesi!$B$19</f>
        <v>385.501903719066</v>
      </c>
      <c r="N23" s="18" t="n">
        <f aca="false">IF(A23&gt;=Ipotesi!$B$26,Ipotesi!$C$52*Ipotesi!$B$25/12,0)</f>
        <v>500</v>
      </c>
      <c r="O23" s="18" t="n">
        <f aca="false">IF(A23&gt;=Ipotesi!$B$27,Ipotesi!$C$53,0)</f>
        <v>0</v>
      </c>
      <c r="P23" s="18" t="n">
        <f aca="false">SUM(L23:O23)</f>
        <v>12652.9475147435</v>
      </c>
      <c r="Q23" s="18" t="n">
        <f aca="false">IF(A23=1,Ipotesi!$B$10+Ipotesi!$B$11,0)+Ipotesi!$B$8*Ipotesi!$B$9+Ipotesi!$B$12+Ipotesi!$B$13+Ipotesi!$B$16*52/12*Ipotesi!$B$17</f>
        <v>620</v>
      </c>
      <c r="R23" s="18" t="n">
        <f aca="false">Ipotesi!$B$14*52/12*Ipotesi!$B$15</f>
        <v>1040</v>
      </c>
      <c r="S23" s="18" t="n">
        <f aca="false">J23*IF(A23&lt;=12,Ipotesi!$B$38,Ipotesi!$B$39)*Ipotesi!$B$22</f>
        <v>3109.55473087391</v>
      </c>
      <c r="T23" s="18" t="n">
        <f aca="false">P23-Q23-R23-S23</f>
        <v>7883.39278386963</v>
      </c>
      <c r="U23" s="18" t="n">
        <f aca="false">U22+T23</f>
        <v>80347.8976137648</v>
      </c>
      <c r="V23" s="18" t="n">
        <f aca="false">L23*Ipotesi!$B$20+IF(A23&gt;Ipotesi!$B$21,INDEX($L$5:$L$40,A23-Ipotesi!$B$21)*(1-Ipotesi!$B$20),0)+M23+N23+O23</f>
        <v>11289.8186753421</v>
      </c>
      <c r="W23" s="18" t="n">
        <f aca="false">V23-Q23-S23</f>
        <v>7560.26394446819</v>
      </c>
      <c r="X23" s="18" t="n">
        <f aca="false">X22+W23</f>
        <v>69480.355257391</v>
      </c>
      <c r="Y23" s="45" t="n">
        <f aca="false">IF(U23&gt;=0,A23,999)</f>
        <v>19</v>
      </c>
      <c r="Z23" s="20" t="n">
        <f aca="false">F23*SUMPRODUCT((Social!$C$6:$C$11&lt;=A23)*Social!$B$6:$B$11*Social!$I$6:$I$11)</f>
        <v>7.22816069473248</v>
      </c>
      <c r="AA23" s="20" t="n">
        <f aca="false">Z23*Ipotesi!$C$50</f>
        <v>2.89126427789299</v>
      </c>
      <c r="AB23" s="20" t="n">
        <f aca="false">AA23*Ipotesi!$C$51</f>
        <v>1.7347585667358</v>
      </c>
      <c r="AC23" s="20" t="n">
        <f aca="false">MIN(AB23,MAX(0,I23-J23))</f>
        <v>1.7347585667358</v>
      </c>
      <c r="AD23" s="18" t="n">
        <f aca="false">AC23*Ipotesi!$B$37+(AA23-AC23)*Ipotesi!$B$19</f>
        <v>3645.88425442306</v>
      </c>
      <c r="AE23" s="18" t="n">
        <f aca="false">SUMPRODUCT((Social!$C$6:$C$11&lt;=A23)*Social!$J$6:$J$11)</f>
        <v>920</v>
      </c>
      <c r="AF23" s="18" t="n">
        <f aca="false">SUMPRODUCT((Social!$C$6:$C$11&lt;=A23)*Social!$K$6:$K$11)</f>
        <v>433.333333333333</v>
      </c>
      <c r="AG23" s="18" t="n">
        <f aca="false">AC23*IF(A23&lt;=12,Ipotesi!$B$38,Ipotesi!$B$39)*Ipotesi!$B$22</f>
        <v>932.866419262174</v>
      </c>
      <c r="AH23" s="18" t="n">
        <f aca="false">AD23-AE23-AF23-AG23</f>
        <v>1359.68450182756</v>
      </c>
      <c r="AI23" s="18" t="n">
        <f aca="false">AI22+AH23</f>
        <v>9042.60040079612</v>
      </c>
      <c r="AJ23" s="18" t="n">
        <f aca="false">U23+AI23</f>
        <v>89390.498014561</v>
      </c>
      <c r="AK23" s="18" t="n">
        <f aca="false">AC23*Ipotesi!$B$37*Ipotesi!$B$20+IF(A23&gt;Ipotesi!$B$21,INDEX($AC$5:$AC$40,A23-Ipotesi!$B$21)*Ipotesi!$B$37*(1-Ipotesi!$B$20),0)+(AA23-AC23)*Ipotesi!$B$19</f>
        <v>3236.94560260263</v>
      </c>
      <c r="AL23" s="18" t="n">
        <f aca="false">X23+SUM($AK$5:AK23)-SUM($AE$5:AE23)-SUM($AG$5:AG23)</f>
        <v>76528.0262846083</v>
      </c>
      <c r="AM23" s="45" t="n">
        <f aca="false">IF(AJ23&gt;=0,A23,999)</f>
        <v>19</v>
      </c>
    </row>
    <row r="24" customFormat="false" ht="15" hidden="false" customHeight="false" outlineLevel="0" collapsed="false">
      <c r="A24" s="25" t="n">
        <v>20</v>
      </c>
      <c r="B24" s="45" t="n">
        <f aca="false">INT((A24-1)/12)+1</f>
        <v>2</v>
      </c>
      <c r="C24" s="45" t="n">
        <f aca="false">MOD(Ipotesi!$B$7-1+A24-1,12)+1</f>
        <v>6</v>
      </c>
      <c r="D24" s="46" t="n">
        <f aca="false">INDEX(Ipotesi!$B$58:$B$69,C24)</f>
        <v>1</v>
      </c>
      <c r="E24" s="45" t="n">
        <f aca="false">Ipotesi!$C$47*MIN(1,(A24/Ipotesi!$B$18)^2)*(1+Ipotesi!$C$48)^(MAX(0,A24-12)/12)*D24</f>
        <v>7508.78969481117</v>
      </c>
      <c r="F24" s="20" t="n">
        <f aca="false">E24*Ipotesi!$C$49</f>
        <v>22.5263690844335</v>
      </c>
      <c r="G24" s="20" t="n">
        <f aca="false">F24*Ipotesi!$C$50</f>
        <v>9.0105476337734</v>
      </c>
      <c r="H24" s="20" t="n">
        <f aca="false">G24*Ipotesi!$C$51</f>
        <v>5.40632858026404</v>
      </c>
      <c r="I24" s="20" t="n">
        <f aca="false">IF(A24&lt;=12,Ipotesi!$B$42,Ipotesi!$B$43)</f>
        <v>10.0418410041841</v>
      </c>
      <c r="J24" s="20" t="n">
        <f aca="false">MIN(H24,I24)</f>
        <v>5.40632858026404</v>
      </c>
      <c r="K24" s="20" t="n">
        <f aca="false">H24-J24</f>
        <v>0</v>
      </c>
      <c r="L24" s="18" t="n">
        <f aca="false">J24*Ipotesi!$B$37</f>
        <v>11001.8786608373</v>
      </c>
      <c r="M24" s="18" t="n">
        <f aca="false">(G24-J24)*Ipotesi!$B$19</f>
        <v>360.421905350936</v>
      </c>
      <c r="N24" s="18" t="n">
        <f aca="false">IF(A24&gt;=Ipotesi!$B$26,Ipotesi!$C$52*Ipotesi!$B$25/12,0)</f>
        <v>500</v>
      </c>
      <c r="O24" s="18" t="n">
        <f aca="false">IF(A24&gt;=Ipotesi!$B$27,Ipotesi!$C$53,0)</f>
        <v>0</v>
      </c>
      <c r="P24" s="18" t="n">
        <f aca="false">SUM(L24:O24)</f>
        <v>11862.3005661883</v>
      </c>
      <c r="Q24" s="18" t="n">
        <f aca="false">IF(A24=1,Ipotesi!$B$10+Ipotesi!$B$11,0)+Ipotesi!$B$8*Ipotesi!$B$9+Ipotesi!$B$12+Ipotesi!$B$13+Ipotesi!$B$16*52/12*Ipotesi!$B$17</f>
        <v>620</v>
      </c>
      <c r="R24" s="18" t="n">
        <f aca="false">Ipotesi!$B$14*52/12*Ipotesi!$B$15</f>
        <v>1040</v>
      </c>
      <c r="S24" s="18" t="n">
        <f aca="false">J24*IF(A24&lt;=12,Ipotesi!$B$38,Ipotesi!$B$39)*Ipotesi!$B$22</f>
        <v>2907.25319403699</v>
      </c>
      <c r="T24" s="18" t="n">
        <f aca="false">P24-Q24-R24-S24</f>
        <v>7295.04737215127</v>
      </c>
      <c r="U24" s="18" t="n">
        <f aca="false">U23+T24</f>
        <v>87642.9449859161</v>
      </c>
      <c r="V24" s="18" t="n">
        <f aca="false">L24*Ipotesi!$B$20+IF(A24&gt;Ipotesi!$B$21,INDEX($L$5:$L$40,A24-Ipotesi!$B$21)*(1-Ipotesi!$B$20),0)+M24+N24+O24</f>
        <v>10080.675059855</v>
      </c>
      <c r="W24" s="18" t="n">
        <f aca="false">V24-Q24-S24</f>
        <v>6553.42186581803</v>
      </c>
      <c r="X24" s="18" t="n">
        <f aca="false">X23+W24</f>
        <v>76033.7771232091</v>
      </c>
      <c r="Y24" s="45" t="n">
        <f aca="false">IF(U24&gt;=0,A24,999)</f>
        <v>20</v>
      </c>
      <c r="Z24" s="20" t="n">
        <f aca="false">F24*SUMPRODUCT((Social!$C$6:$C$11&lt;=A24)*Social!$B$6:$B$11*Social!$I$6:$I$11)</f>
        <v>6.75791072533005</v>
      </c>
      <c r="AA24" s="20" t="n">
        <f aca="false">Z24*Ipotesi!$C$50</f>
        <v>2.70316429013202</v>
      </c>
      <c r="AB24" s="20" t="n">
        <f aca="false">AA24*Ipotesi!$C$51</f>
        <v>1.62189857407921</v>
      </c>
      <c r="AC24" s="20" t="n">
        <f aca="false">MIN(AB24,MAX(0,I24-J24))</f>
        <v>1.62189857407921</v>
      </c>
      <c r="AD24" s="18" t="n">
        <f aca="false">AC24*Ipotesi!$B$37+(AA24-AC24)*Ipotesi!$B$19</f>
        <v>3408.69016985648</v>
      </c>
      <c r="AE24" s="18" t="n">
        <f aca="false">SUMPRODUCT((Social!$C$6:$C$11&lt;=A24)*Social!$J$6:$J$11)</f>
        <v>920</v>
      </c>
      <c r="AF24" s="18" t="n">
        <f aca="false">SUMPRODUCT((Social!$C$6:$C$11&lt;=A24)*Social!$K$6:$K$11)</f>
        <v>433.333333333333</v>
      </c>
      <c r="AG24" s="18" t="n">
        <f aca="false">AC24*IF(A24&lt;=12,Ipotesi!$B$38,Ipotesi!$B$39)*Ipotesi!$B$22</f>
        <v>872.175958211097</v>
      </c>
      <c r="AH24" s="18" t="n">
        <f aca="false">AD24-AE24-AF24-AG24</f>
        <v>1183.18087831205</v>
      </c>
      <c r="AI24" s="18" t="n">
        <f aca="false">AI23+AH24</f>
        <v>10225.7812791082</v>
      </c>
      <c r="AJ24" s="18" t="n">
        <f aca="false">U24+AI24</f>
        <v>97868.7262650243</v>
      </c>
      <c r="AK24" s="18" t="n">
        <f aca="false">AC24*Ipotesi!$B$37*Ipotesi!$B$20+IF(A24&gt;Ipotesi!$B$21,INDEX($AC$5:$AC$40,A24-Ipotesi!$B$21)*Ipotesi!$B$37*(1-Ipotesi!$B$20),0)+(AA24-AC24)*Ipotesi!$B$19</f>
        <v>2874.2025179565</v>
      </c>
      <c r="AL24" s="18" t="n">
        <f aca="false">X24+SUM($AK$5:AK24)-SUM($AE$5:AE24)-SUM($AG$5:AG24)</f>
        <v>84163.4747101718</v>
      </c>
      <c r="AM24" s="45" t="n">
        <f aca="false">IF(AJ24&gt;=0,A24,999)</f>
        <v>20</v>
      </c>
    </row>
    <row r="25" customFormat="false" ht="15" hidden="false" customHeight="false" outlineLevel="0" collapsed="false">
      <c r="A25" s="25" t="n">
        <v>21</v>
      </c>
      <c r="B25" s="45" t="n">
        <f aca="false">INT((A25-1)/12)+1</f>
        <v>2</v>
      </c>
      <c r="C25" s="45" t="n">
        <f aca="false">MOD(Ipotesi!$B$7-1+A25-1,12)+1</f>
        <v>7</v>
      </c>
      <c r="D25" s="46" t="n">
        <f aca="false">INDEX(Ipotesi!$B$58:$B$69,C25)</f>
        <v>1</v>
      </c>
      <c r="E25" s="45" t="n">
        <f aca="false">Ipotesi!$C$47*MIN(1,(A25/Ipotesi!$B$18)^2)*(1+Ipotesi!$C$48)^(MAX(0,A25-12)/12)*D25</f>
        <v>7722.31080788932</v>
      </c>
      <c r="F25" s="20" t="n">
        <f aca="false">E25*Ipotesi!$C$49</f>
        <v>23.1669324236679</v>
      </c>
      <c r="G25" s="20" t="n">
        <f aca="false">F25*Ipotesi!$C$50</f>
        <v>9.26677296946718</v>
      </c>
      <c r="H25" s="20" t="n">
        <f aca="false">G25*Ipotesi!$C$51</f>
        <v>5.56006378168031</v>
      </c>
      <c r="I25" s="20" t="n">
        <f aca="false">IF(A25&lt;=12,Ipotesi!$B$42,Ipotesi!$B$43)</f>
        <v>10.0418410041841</v>
      </c>
      <c r="J25" s="20" t="n">
        <f aca="false">MIN(H25,I25)</f>
        <v>5.56006378168031</v>
      </c>
      <c r="K25" s="20" t="n">
        <f aca="false">H25-J25</f>
        <v>0</v>
      </c>
      <c r="L25" s="18" t="n">
        <f aca="false">J25*Ipotesi!$B$37</f>
        <v>11314.7297957194</v>
      </c>
      <c r="M25" s="18" t="n">
        <f aca="false">(G25-J25)*Ipotesi!$B$19</f>
        <v>370.670918778687</v>
      </c>
      <c r="N25" s="18" t="n">
        <f aca="false">IF(A25&gt;=Ipotesi!$B$26,Ipotesi!$C$52*Ipotesi!$B$25/12,0)</f>
        <v>500</v>
      </c>
      <c r="O25" s="18" t="n">
        <f aca="false">IF(A25&gt;=Ipotesi!$B$27,Ipotesi!$C$53,0)</f>
        <v>0</v>
      </c>
      <c r="P25" s="18" t="n">
        <f aca="false">SUM(L25:O25)</f>
        <v>12185.4007144981</v>
      </c>
      <c r="Q25" s="18" t="n">
        <f aca="false">IF(A25=1,Ipotesi!$B$10+Ipotesi!$B$11,0)+Ipotesi!$B$8*Ipotesi!$B$9+Ipotesi!$B$12+Ipotesi!$B$13+Ipotesi!$B$16*52/12*Ipotesi!$B$17</f>
        <v>620</v>
      </c>
      <c r="R25" s="18" t="n">
        <f aca="false">Ipotesi!$B$14*52/12*Ipotesi!$B$15</f>
        <v>1040</v>
      </c>
      <c r="S25" s="18" t="n">
        <f aca="false">J25*IF(A25&lt;=12,Ipotesi!$B$38,Ipotesi!$B$39)*Ipotesi!$B$22</f>
        <v>2989.92429859858</v>
      </c>
      <c r="T25" s="18" t="n">
        <f aca="false">P25-Q25-R25-S25</f>
        <v>7535.47641589953</v>
      </c>
      <c r="U25" s="18" t="n">
        <f aca="false">U24+T25</f>
        <v>95178.4214018156</v>
      </c>
      <c r="V25" s="18" t="n">
        <f aca="false">L25*Ipotesi!$B$20+IF(A25&gt;Ipotesi!$B$21,INDEX($L$5:$L$40,A25-Ipotesi!$B$21)*(1-Ipotesi!$B$20),0)+M25+N25+O25</f>
        <v>10831.2472292185</v>
      </c>
      <c r="W25" s="18" t="n">
        <f aca="false">V25-Q25-S25</f>
        <v>7221.32293061992</v>
      </c>
      <c r="X25" s="18" t="n">
        <f aca="false">X24+W25</f>
        <v>83255.100053829</v>
      </c>
      <c r="Y25" s="45" t="n">
        <f aca="false">IF(U25&gt;=0,A25,999)</f>
        <v>21</v>
      </c>
      <c r="Z25" s="20" t="n">
        <f aca="false">F25*SUMPRODUCT((Social!$C$6:$C$11&lt;=A25)*Social!$B$6:$B$11*Social!$I$6:$I$11)</f>
        <v>6.95007972710038</v>
      </c>
      <c r="AA25" s="20" t="n">
        <f aca="false">Z25*Ipotesi!$C$50</f>
        <v>2.78003189084015</v>
      </c>
      <c r="AB25" s="20" t="n">
        <f aca="false">AA25*Ipotesi!$C$51</f>
        <v>1.66801913450409</v>
      </c>
      <c r="AC25" s="20" t="n">
        <f aca="false">MIN(AB25,MAX(0,I25-J25))</f>
        <v>1.66801913450409</v>
      </c>
      <c r="AD25" s="18" t="n">
        <f aca="false">AC25*Ipotesi!$B$37+(AA25-AC25)*Ipotesi!$B$19</f>
        <v>3505.62021434943</v>
      </c>
      <c r="AE25" s="18" t="n">
        <f aca="false">SUMPRODUCT((Social!$C$6:$C$11&lt;=A25)*Social!$J$6:$J$11)</f>
        <v>920</v>
      </c>
      <c r="AF25" s="18" t="n">
        <f aca="false">SUMPRODUCT((Social!$C$6:$C$11&lt;=A25)*Social!$K$6:$K$11)</f>
        <v>433.333333333333</v>
      </c>
      <c r="AG25" s="18" t="n">
        <f aca="false">AC25*IF(A25&lt;=12,Ipotesi!$B$38,Ipotesi!$B$39)*Ipotesi!$B$22</f>
        <v>896.977289579575</v>
      </c>
      <c r="AH25" s="18" t="n">
        <f aca="false">AD25-AE25-AF25-AG25</f>
        <v>1255.30959143652</v>
      </c>
      <c r="AI25" s="18" t="n">
        <f aca="false">AI24+AH25</f>
        <v>11481.0908705447</v>
      </c>
      <c r="AJ25" s="18" t="n">
        <f aca="false">U25+AI25</f>
        <v>106659.51227236</v>
      </c>
      <c r="AK25" s="18" t="n">
        <f aca="false">AC25*Ipotesi!$B$37*Ipotesi!$B$20+IF(A25&gt;Ipotesi!$B$21,INDEX($AC$5:$AC$40,A25-Ipotesi!$B$21)*Ipotesi!$B$37*(1-Ipotesi!$B$20),0)+(AA25-AC25)*Ipotesi!$B$19</f>
        <v>3099.37416876555</v>
      </c>
      <c r="AL25" s="18" t="n">
        <f aca="false">X25+SUM($AK$5:AK25)-SUM($AE$5:AE25)-SUM($AG$5:AG25)</f>
        <v>92667.1945199777</v>
      </c>
      <c r="AM25" s="45" t="n">
        <f aca="false">IF(AJ25&gt;=0,A25,999)</f>
        <v>21</v>
      </c>
    </row>
    <row r="26" customFormat="false" ht="15" hidden="false" customHeight="false" outlineLevel="0" collapsed="false">
      <c r="A26" s="25" t="n">
        <v>22</v>
      </c>
      <c r="B26" s="45" t="n">
        <f aca="false">INT((A26-1)/12)+1</f>
        <v>2</v>
      </c>
      <c r="C26" s="45" t="n">
        <f aca="false">MOD(Ipotesi!$B$7-1+A26-1,12)+1</f>
        <v>8</v>
      </c>
      <c r="D26" s="46" t="n">
        <f aca="false">INDEX(Ipotesi!$B$58:$B$69,C26)</f>
        <v>0.7</v>
      </c>
      <c r="E26" s="45" t="n">
        <f aca="false">Ipotesi!$C$47*MIN(1,(A26/Ipotesi!$B$18)^2)*(1+Ipotesi!$C$48)^(MAX(0,A26-12)/12)*D26</f>
        <v>5559.33254841287</v>
      </c>
      <c r="F26" s="20" t="n">
        <f aca="false">E26*Ipotesi!$C$49</f>
        <v>16.6779976452386</v>
      </c>
      <c r="G26" s="20" t="n">
        <f aca="false">F26*Ipotesi!$C$50</f>
        <v>6.67119905809545</v>
      </c>
      <c r="H26" s="20" t="n">
        <f aca="false">G26*Ipotesi!$C$51</f>
        <v>4.00271943485727</v>
      </c>
      <c r="I26" s="20" t="n">
        <f aca="false">IF(A26&lt;=12,Ipotesi!$B$42,Ipotesi!$B$43)</f>
        <v>10.0418410041841</v>
      </c>
      <c r="J26" s="20" t="n">
        <f aca="false">MIN(H26,I26)</f>
        <v>4.00271943485727</v>
      </c>
      <c r="K26" s="20" t="n">
        <f aca="false">H26-J26</f>
        <v>0</v>
      </c>
      <c r="L26" s="18" t="n">
        <f aca="false">J26*Ipotesi!$B$37</f>
        <v>8145.53404993454</v>
      </c>
      <c r="M26" s="18" t="n">
        <f aca="false">(G26-J26)*Ipotesi!$B$19</f>
        <v>266.847962323818</v>
      </c>
      <c r="N26" s="18" t="n">
        <f aca="false">IF(A26&gt;=Ipotesi!$B$26,Ipotesi!$C$52*Ipotesi!$B$25/12,0)</f>
        <v>500</v>
      </c>
      <c r="O26" s="18" t="n">
        <f aca="false">IF(A26&gt;=Ipotesi!$B$27,Ipotesi!$C$53,0)</f>
        <v>0</v>
      </c>
      <c r="P26" s="18" t="n">
        <f aca="false">SUM(L26:O26)</f>
        <v>8912.38201225836</v>
      </c>
      <c r="Q26" s="18" t="n">
        <f aca="false">IF(A26=1,Ipotesi!$B$10+Ipotesi!$B$11,0)+Ipotesi!$B$8*Ipotesi!$B$9+Ipotesi!$B$12+Ipotesi!$B$13+Ipotesi!$B$16*52/12*Ipotesi!$B$17</f>
        <v>620</v>
      </c>
      <c r="R26" s="18" t="n">
        <f aca="false">Ipotesi!$B$14*52/12*Ipotesi!$B$15</f>
        <v>1040</v>
      </c>
      <c r="S26" s="18" t="n">
        <f aca="false">J26*IF(A26&lt;=12,Ipotesi!$B$38,Ipotesi!$B$39)*Ipotesi!$B$22</f>
        <v>2152.4623760945</v>
      </c>
      <c r="T26" s="18" t="n">
        <f aca="false">P26-Q26-R26-S26</f>
        <v>5099.91963616386</v>
      </c>
      <c r="U26" s="18" t="n">
        <f aca="false">U25+T26</f>
        <v>100278.34103798</v>
      </c>
      <c r="V26" s="18" t="n">
        <f aca="false">L26*Ipotesi!$B$20+IF(A26&gt;Ipotesi!$B$21,INDEX($L$5:$L$40,A26-Ipotesi!$B$21)*(1-Ipotesi!$B$20),0)+M26+N26+O26</f>
        <v>9756.92410110408</v>
      </c>
      <c r="W26" s="18" t="n">
        <f aca="false">V26-Q26-S26</f>
        <v>6984.46172500958</v>
      </c>
      <c r="X26" s="18" t="n">
        <f aca="false">X25+W26</f>
        <v>90239.5617788386</v>
      </c>
      <c r="Y26" s="45" t="n">
        <f aca="false">IF(U26&gt;=0,A26,999)</f>
        <v>22</v>
      </c>
      <c r="Z26" s="20" t="n">
        <f aca="false">F26*SUMPRODUCT((Social!$C$6:$C$11&lt;=A26)*Social!$B$6:$B$11*Social!$I$6:$I$11)</f>
        <v>5.00339929357159</v>
      </c>
      <c r="AA26" s="20" t="n">
        <f aca="false">Z26*Ipotesi!$C$50</f>
        <v>2.00135971742863</v>
      </c>
      <c r="AB26" s="20" t="n">
        <f aca="false">AA26*Ipotesi!$C$51</f>
        <v>1.20081583045718</v>
      </c>
      <c r="AC26" s="20" t="n">
        <f aca="false">MIN(AB26,MAX(0,I26-J26))</f>
        <v>1.20081583045718</v>
      </c>
      <c r="AD26" s="18" t="n">
        <f aca="false">AC26*Ipotesi!$B$37+(AA26-AC26)*Ipotesi!$B$19</f>
        <v>2523.71460367751</v>
      </c>
      <c r="AE26" s="18" t="n">
        <f aca="false">SUMPRODUCT((Social!$C$6:$C$11&lt;=A26)*Social!$J$6:$J$11)</f>
        <v>920</v>
      </c>
      <c r="AF26" s="18" t="n">
        <f aca="false">SUMPRODUCT((Social!$C$6:$C$11&lt;=A26)*Social!$K$6:$K$11)</f>
        <v>433.333333333333</v>
      </c>
      <c r="AG26" s="18" t="n">
        <f aca="false">AC26*IF(A26&lt;=12,Ipotesi!$B$38,Ipotesi!$B$39)*Ipotesi!$B$22</f>
        <v>645.738712828349</v>
      </c>
      <c r="AH26" s="18" t="n">
        <f aca="false">AD26-AE26-AF26-AG26</f>
        <v>524.642557515826</v>
      </c>
      <c r="AI26" s="18" t="n">
        <f aca="false">AI25+AH26</f>
        <v>12005.7334280605</v>
      </c>
      <c r="AJ26" s="18" t="n">
        <f aca="false">U26+AI26</f>
        <v>112284.07446604</v>
      </c>
      <c r="AK26" s="18" t="n">
        <f aca="false">AC26*Ipotesi!$B$37*Ipotesi!$B$20+IF(A26&gt;Ipotesi!$B$21,INDEX($AC$5:$AC$40,A26-Ipotesi!$B$21)*Ipotesi!$B$37*(1-Ipotesi!$B$20),0)+(AA26-AC26)*Ipotesi!$B$19</f>
        <v>2777.07723033122</v>
      </c>
      <c r="AL26" s="18" t="n">
        <f aca="false">X26+SUM($AK$5:AK26)-SUM($AE$5:AE26)-SUM($AG$5:AG26)</f>
        <v>100862.99476249</v>
      </c>
      <c r="AM26" s="45" t="n">
        <f aca="false">IF(AJ26&gt;=0,A26,999)</f>
        <v>22</v>
      </c>
    </row>
    <row r="27" customFormat="false" ht="15" hidden="false" customHeight="false" outlineLevel="0" collapsed="false">
      <c r="A27" s="25" t="n">
        <v>23</v>
      </c>
      <c r="B27" s="45" t="n">
        <f aca="false">INT((A27-1)/12)+1</f>
        <v>2</v>
      </c>
      <c r="C27" s="45" t="n">
        <f aca="false">MOD(Ipotesi!$B$7-1+A27-1,12)+1</f>
        <v>9</v>
      </c>
      <c r="D27" s="46" t="n">
        <f aca="false">INDEX(Ipotesi!$B$58:$B$69,C27)</f>
        <v>1.1</v>
      </c>
      <c r="E27" s="45" t="n">
        <f aca="false">Ipotesi!$C$47*MIN(1,(A27/Ipotesi!$B$18)^2)*(1+Ipotesi!$C$48)^(MAX(0,A27-12)/12)*D27</f>
        <v>8984.51493420513</v>
      </c>
      <c r="F27" s="20" t="n">
        <f aca="false">E27*Ipotesi!$C$49</f>
        <v>26.9535448026154</v>
      </c>
      <c r="G27" s="20" t="n">
        <f aca="false">F27*Ipotesi!$C$50</f>
        <v>10.7814179210462</v>
      </c>
      <c r="H27" s="20" t="n">
        <f aca="false">G27*Ipotesi!$C$51</f>
        <v>6.46885075262769</v>
      </c>
      <c r="I27" s="20" t="n">
        <f aca="false">IF(A27&lt;=12,Ipotesi!$B$42,Ipotesi!$B$43)</f>
        <v>10.0418410041841</v>
      </c>
      <c r="J27" s="20" t="n">
        <f aca="false">MIN(H27,I27)</f>
        <v>6.46885075262769</v>
      </c>
      <c r="K27" s="20" t="n">
        <f aca="false">H27-J27</f>
        <v>0</v>
      </c>
      <c r="L27" s="18" t="n">
        <f aca="false">J27*Ipotesi!$B$37</f>
        <v>13164.1112815974</v>
      </c>
      <c r="M27" s="18" t="n">
        <f aca="false">(G27-J27)*Ipotesi!$B$19</f>
        <v>431.256716841846</v>
      </c>
      <c r="N27" s="18" t="n">
        <f aca="false">IF(A27&gt;=Ipotesi!$B$26,Ipotesi!$C$52*Ipotesi!$B$25/12,0)</f>
        <v>500</v>
      </c>
      <c r="O27" s="18" t="n">
        <f aca="false">IF(A27&gt;=Ipotesi!$B$27,Ipotesi!$C$53,0)</f>
        <v>0</v>
      </c>
      <c r="P27" s="18" t="n">
        <f aca="false">SUM(L27:O27)</f>
        <v>14095.3679984392</v>
      </c>
      <c r="Q27" s="18" t="n">
        <f aca="false">IF(A27=1,Ipotesi!$B$10+Ipotesi!$B$11,0)+Ipotesi!$B$8*Ipotesi!$B$9+Ipotesi!$B$12+Ipotesi!$B$13+Ipotesi!$B$16*52/12*Ipotesi!$B$17</f>
        <v>620</v>
      </c>
      <c r="R27" s="18" t="n">
        <f aca="false">Ipotesi!$B$14*52/12*Ipotesi!$B$15</f>
        <v>1040</v>
      </c>
      <c r="S27" s="18" t="n">
        <f aca="false">J27*IF(A27&lt;=12,Ipotesi!$B$38,Ipotesi!$B$39)*Ipotesi!$B$22</f>
        <v>3478.62449222554</v>
      </c>
      <c r="T27" s="18" t="n">
        <f aca="false">P27-Q27-R27-S27</f>
        <v>8956.74350621366</v>
      </c>
      <c r="U27" s="18" t="n">
        <f aca="false">U26+T27</f>
        <v>109235.084544193</v>
      </c>
      <c r="V27" s="18" t="n">
        <f aca="false">L27*Ipotesi!$B$20+IF(A27&gt;Ipotesi!$B$21,INDEX($L$5:$L$40,A27-Ipotesi!$B$21)*(1-Ipotesi!$B$20),0)+M27+N27+O27</f>
        <v>13076.1646873214</v>
      </c>
      <c r="W27" s="18" t="n">
        <f aca="false">V27-Q27-S27</f>
        <v>8977.54019509581</v>
      </c>
      <c r="X27" s="18" t="n">
        <f aca="false">X26+W27</f>
        <v>99217.1019739344</v>
      </c>
      <c r="Y27" s="45" t="n">
        <f aca="false">IF(U27&gt;=0,A27,999)</f>
        <v>23</v>
      </c>
      <c r="Z27" s="20" t="n">
        <f aca="false">F27*SUMPRODUCT((Social!$C$6:$C$11&lt;=A27)*Social!$B$6:$B$11*Social!$I$6:$I$11)</f>
        <v>8.08606344078461</v>
      </c>
      <c r="AA27" s="20" t="n">
        <f aca="false">Z27*Ipotesi!$C$50</f>
        <v>3.23442537631385</v>
      </c>
      <c r="AB27" s="20" t="n">
        <f aca="false">AA27*Ipotesi!$C$51</f>
        <v>1.94065522578831</v>
      </c>
      <c r="AC27" s="20" t="n">
        <f aca="false">MIN(AB27,MAX(0,I27-J27))</f>
        <v>1.94065522578831</v>
      </c>
      <c r="AD27" s="18" t="n">
        <f aca="false">AC27*Ipotesi!$B$37+(AA27-AC27)*Ipotesi!$B$19</f>
        <v>4078.61039953176</v>
      </c>
      <c r="AE27" s="18" t="n">
        <f aca="false">SUMPRODUCT((Social!$C$6:$C$11&lt;=A27)*Social!$J$6:$J$11)</f>
        <v>920</v>
      </c>
      <c r="AF27" s="18" t="n">
        <f aca="false">SUMPRODUCT((Social!$C$6:$C$11&lt;=A27)*Social!$K$6:$K$11)</f>
        <v>433.333333333333</v>
      </c>
      <c r="AG27" s="18" t="n">
        <f aca="false">AC27*IF(A27&lt;=12,Ipotesi!$B$38,Ipotesi!$B$39)*Ipotesi!$B$22</f>
        <v>1043.58734766766</v>
      </c>
      <c r="AH27" s="18" t="n">
        <f aca="false">AD27-AE27-AF27-AG27</f>
        <v>1681.68971853076</v>
      </c>
      <c r="AI27" s="18" t="n">
        <f aca="false">AI26+AH27</f>
        <v>13687.4231465913</v>
      </c>
      <c r="AJ27" s="18" t="n">
        <f aca="false">U27+AI27</f>
        <v>122922.507690784</v>
      </c>
      <c r="AK27" s="18" t="n">
        <f aca="false">AC27*Ipotesi!$B$37*Ipotesi!$B$20+IF(A27&gt;Ipotesi!$B$21,INDEX($AC$5:$AC$40,A27-Ipotesi!$B$21)*Ipotesi!$B$37*(1-Ipotesi!$B$20),0)+(AA27-AC27)*Ipotesi!$B$19</f>
        <v>3772.84940619641</v>
      </c>
      <c r="AL27" s="18" t="n">
        <f aca="false">X27+SUM($AK$5:AK27)-SUM($AE$5:AE27)-SUM($AG$5:AG27)</f>
        <v>111649.797016115</v>
      </c>
      <c r="AM27" s="45" t="n">
        <f aca="false">IF(AJ27&gt;=0,A27,999)</f>
        <v>23</v>
      </c>
    </row>
    <row r="28" customFormat="false" ht="15" hidden="false" customHeight="false" outlineLevel="0" collapsed="false">
      <c r="A28" s="25" t="n">
        <v>24</v>
      </c>
      <c r="B28" s="45" t="n">
        <f aca="false">INT((A28-1)/12)+1</f>
        <v>2</v>
      </c>
      <c r="C28" s="45" t="n">
        <f aca="false">MOD(Ipotesi!$B$7-1+A28-1,12)+1</f>
        <v>10</v>
      </c>
      <c r="D28" s="46" t="n">
        <f aca="false">INDEX(Ipotesi!$B$58:$B$69,C28)</f>
        <v>1.1</v>
      </c>
      <c r="E28" s="45" t="n">
        <f aca="false">Ipotesi!$C$47*MIN(1,(A28/Ipotesi!$B$18)^2)*(1+Ipotesi!$C$48)^(MAX(0,A28-12)/12)*D28</f>
        <v>9240</v>
      </c>
      <c r="F28" s="20" t="n">
        <f aca="false">E28*Ipotesi!$C$49</f>
        <v>27.72</v>
      </c>
      <c r="G28" s="20" t="n">
        <f aca="false">F28*Ipotesi!$C$50</f>
        <v>11.088</v>
      </c>
      <c r="H28" s="20" t="n">
        <f aca="false">G28*Ipotesi!$C$51</f>
        <v>6.6528</v>
      </c>
      <c r="I28" s="20" t="n">
        <f aca="false">IF(A28&lt;=12,Ipotesi!$B$42,Ipotesi!$B$43)</f>
        <v>10.0418410041841</v>
      </c>
      <c r="J28" s="20" t="n">
        <f aca="false">MIN(H28,I28)</f>
        <v>6.6528</v>
      </c>
      <c r="K28" s="20" t="n">
        <f aca="false">H28-J28</f>
        <v>0</v>
      </c>
      <c r="L28" s="18" t="n">
        <f aca="false">J28*Ipotesi!$B$37</f>
        <v>13538.448</v>
      </c>
      <c r="M28" s="18" t="n">
        <f aca="false">(G28-J28)*Ipotesi!$B$19</f>
        <v>443.52</v>
      </c>
      <c r="N28" s="18" t="n">
        <f aca="false">IF(A28&gt;=Ipotesi!$B$26,Ipotesi!$C$52*Ipotesi!$B$25/12,0)</f>
        <v>500</v>
      </c>
      <c r="O28" s="18" t="n">
        <f aca="false">IF(A28&gt;=Ipotesi!$B$27,Ipotesi!$C$53,0)</f>
        <v>0</v>
      </c>
      <c r="P28" s="18" t="n">
        <f aca="false">SUM(L28:O28)</f>
        <v>14481.968</v>
      </c>
      <c r="Q28" s="18" t="n">
        <f aca="false">IF(A28=1,Ipotesi!$B$10+Ipotesi!$B$11,0)+Ipotesi!$B$8*Ipotesi!$B$9+Ipotesi!$B$12+Ipotesi!$B$13+Ipotesi!$B$16*52/12*Ipotesi!$B$17</f>
        <v>620</v>
      </c>
      <c r="R28" s="18" t="n">
        <f aca="false">Ipotesi!$B$14*52/12*Ipotesi!$B$15</f>
        <v>1040</v>
      </c>
      <c r="S28" s="18" t="n">
        <f aca="false">J28*IF(A28&lt;=12,Ipotesi!$B$38,Ipotesi!$B$39)*Ipotesi!$B$22</f>
        <v>3577.5432</v>
      </c>
      <c r="T28" s="18" t="n">
        <f aca="false">P28-Q28-R28-S28</f>
        <v>9244.4248</v>
      </c>
      <c r="U28" s="18" t="n">
        <f aca="false">U27+T28</f>
        <v>118479.509344193</v>
      </c>
      <c r="V28" s="18" t="n">
        <f aca="false">L28*Ipotesi!$B$20+IF(A28&gt;Ipotesi!$B$21,INDEX($L$5:$L$40,A28-Ipotesi!$B$21)*(1-Ipotesi!$B$20),0)+M28+N28+O28</f>
        <v>13953.8768707022</v>
      </c>
      <c r="W28" s="18" t="n">
        <f aca="false">V28-Q28-S28</f>
        <v>9756.33367070224</v>
      </c>
      <c r="X28" s="18" t="n">
        <f aca="false">X27+W28</f>
        <v>108973.435644637</v>
      </c>
      <c r="Y28" s="45" t="n">
        <f aca="false">IF(U28&gt;=0,A28,999)</f>
        <v>24</v>
      </c>
      <c r="Z28" s="20" t="n">
        <f aca="false">F28*SUMPRODUCT((Social!$C$6:$C$11&lt;=A28)*Social!$B$6:$B$11*Social!$I$6:$I$11)</f>
        <v>8.316</v>
      </c>
      <c r="AA28" s="20" t="n">
        <f aca="false">Z28*Ipotesi!$C$50</f>
        <v>3.3264</v>
      </c>
      <c r="AB28" s="20" t="n">
        <f aca="false">AA28*Ipotesi!$C$51</f>
        <v>1.99584</v>
      </c>
      <c r="AC28" s="20" t="n">
        <f aca="false">MIN(AB28,MAX(0,I28-J28))</f>
        <v>1.99584</v>
      </c>
      <c r="AD28" s="18" t="n">
        <f aca="false">AC28*Ipotesi!$B$37+(AA28-AC28)*Ipotesi!$B$19</f>
        <v>4194.5904</v>
      </c>
      <c r="AE28" s="18" t="n">
        <f aca="false">SUMPRODUCT((Social!$C$6:$C$11&lt;=A28)*Social!$J$6:$J$11)</f>
        <v>920</v>
      </c>
      <c r="AF28" s="18" t="n">
        <f aca="false">SUMPRODUCT((Social!$C$6:$C$11&lt;=A28)*Social!$K$6:$K$11)</f>
        <v>433.333333333333</v>
      </c>
      <c r="AG28" s="18" t="n">
        <f aca="false">AC28*IF(A28&lt;=12,Ipotesi!$B$38,Ipotesi!$B$39)*Ipotesi!$B$22</f>
        <v>1073.26296</v>
      </c>
      <c r="AH28" s="18" t="n">
        <f aca="false">AD28-AE28-AF28-AG28</f>
        <v>1767.99410666667</v>
      </c>
      <c r="AI28" s="18" t="n">
        <f aca="false">AI27+AH28</f>
        <v>15455.417253258</v>
      </c>
      <c r="AJ28" s="18" t="n">
        <f aca="false">U28+AI28</f>
        <v>133934.926597451</v>
      </c>
      <c r="AK28" s="18" t="n">
        <f aca="false">AC28*Ipotesi!$B$37*Ipotesi!$B$20+IF(A28&gt;Ipotesi!$B$21,INDEX($AC$5:$AC$40,A28-Ipotesi!$B$21)*Ipotesi!$B$37*(1-Ipotesi!$B$20),0)+(AA28-AC28)*Ipotesi!$B$19</f>
        <v>4036.16306121067</v>
      </c>
      <c r="AL28" s="18" t="n">
        <f aca="false">X28+SUM($AK$5:AK28)-SUM($AE$5:AE28)-SUM($AG$5:AG28)</f>
        <v>123449.030788028</v>
      </c>
      <c r="AM28" s="45" t="n">
        <f aca="false">IF(AJ28&gt;=0,A28,999)</f>
        <v>24</v>
      </c>
    </row>
    <row r="29" customFormat="false" ht="15" hidden="false" customHeight="false" outlineLevel="0" collapsed="false">
      <c r="A29" s="25" t="n">
        <v>25</v>
      </c>
      <c r="B29" s="45" t="n">
        <f aca="false">INT((A29-1)/12)+1</f>
        <v>3</v>
      </c>
      <c r="C29" s="45" t="n">
        <f aca="false">MOD(Ipotesi!$B$7-1+A29-1,12)+1</f>
        <v>11</v>
      </c>
      <c r="D29" s="46" t="n">
        <f aca="false">INDEX(Ipotesi!$B$58:$B$69,C29)</f>
        <v>1</v>
      </c>
      <c r="E29" s="45" t="n">
        <f aca="false">Ipotesi!$C$47*MIN(1,(A29/Ipotesi!$B$18)^2)*(1+Ipotesi!$C$48)^(MAX(0,A29-12)/12)*D29</f>
        <v>8638.86370810144</v>
      </c>
      <c r="F29" s="20" t="n">
        <f aca="false">E29*Ipotesi!$C$49</f>
        <v>25.9165911243043</v>
      </c>
      <c r="G29" s="20" t="n">
        <f aca="false">F29*Ipotesi!$C$50</f>
        <v>10.3666364497217</v>
      </c>
      <c r="H29" s="20" t="n">
        <f aca="false">G29*Ipotesi!$C$51</f>
        <v>6.21998186983303</v>
      </c>
      <c r="I29" s="20" t="n">
        <f aca="false">IF(A29&lt;=12,Ipotesi!$B$42,Ipotesi!$B$43)</f>
        <v>10.0418410041841</v>
      </c>
      <c r="J29" s="20" t="n">
        <f aca="false">MIN(H29,I29)</f>
        <v>6.21998186983303</v>
      </c>
      <c r="K29" s="20" t="n">
        <f aca="false">H29-J29</f>
        <v>0</v>
      </c>
      <c r="L29" s="18" t="n">
        <f aca="false">J29*Ipotesi!$B$37</f>
        <v>12657.6631051102</v>
      </c>
      <c r="M29" s="18" t="n">
        <f aca="false">(G29-J29)*Ipotesi!$B$19</f>
        <v>414.665457988869</v>
      </c>
      <c r="N29" s="18" t="n">
        <f aca="false">IF(A29&gt;=Ipotesi!$B$26,Ipotesi!$C$52*Ipotesi!$B$25/12,0)</f>
        <v>500</v>
      </c>
      <c r="O29" s="18" t="n">
        <f aca="false">IF(A29&gt;=Ipotesi!$B$27,Ipotesi!$C$53,0)</f>
        <v>500</v>
      </c>
      <c r="P29" s="18" t="n">
        <f aca="false">SUM(L29:O29)</f>
        <v>14072.3285630991</v>
      </c>
      <c r="Q29" s="18" t="n">
        <f aca="false">IF(A29=1,Ipotesi!$B$10+Ipotesi!$B$11,0)+Ipotesi!$B$8*Ipotesi!$B$9+Ipotesi!$B$12+Ipotesi!$B$13+Ipotesi!$B$16*52/12*Ipotesi!$B$17</f>
        <v>620</v>
      </c>
      <c r="R29" s="18" t="n">
        <f aca="false">Ipotesi!$B$14*52/12*Ipotesi!$B$15</f>
        <v>1040</v>
      </c>
      <c r="S29" s="18" t="n">
        <f aca="false">J29*IF(A29&lt;=12,Ipotesi!$B$38,Ipotesi!$B$39)*Ipotesi!$B$22</f>
        <v>3344.79525050271</v>
      </c>
      <c r="T29" s="18" t="n">
        <f aca="false">P29-Q29-R29-S29</f>
        <v>9067.53331259638</v>
      </c>
      <c r="U29" s="18" t="n">
        <f aca="false">U28+T29</f>
        <v>127547.04265679</v>
      </c>
      <c r="V29" s="18" t="n">
        <f aca="false">L29*Ipotesi!$B$20+IF(A29&gt;Ipotesi!$B$21,INDEX($L$5:$L$40,A29-Ipotesi!$B$21)*(1-Ipotesi!$B$20),0)+M29+N29+O29</f>
        <v>13627.2198160562</v>
      </c>
      <c r="W29" s="18" t="n">
        <f aca="false">V29-Q29-S29</f>
        <v>9662.42456555351</v>
      </c>
      <c r="X29" s="18" t="n">
        <f aca="false">X28+W29</f>
        <v>118635.86021019</v>
      </c>
      <c r="Y29" s="45" t="n">
        <f aca="false">IF(U29&gt;=0,A29,999)</f>
        <v>25</v>
      </c>
      <c r="Z29" s="20" t="n">
        <f aca="false">F29*SUMPRODUCT((Social!$C$6:$C$11&lt;=A29)*Social!$B$6:$B$11*Social!$I$6:$I$11)</f>
        <v>7.77497733729129</v>
      </c>
      <c r="AA29" s="20" t="n">
        <f aca="false">Z29*Ipotesi!$C$50</f>
        <v>3.10999093491652</v>
      </c>
      <c r="AB29" s="20" t="n">
        <f aca="false">AA29*Ipotesi!$C$51</f>
        <v>1.86599456094991</v>
      </c>
      <c r="AC29" s="20" t="n">
        <f aca="false">MIN(AB29,MAX(0,I29-J29))</f>
        <v>1.86599456094991</v>
      </c>
      <c r="AD29" s="18" t="n">
        <f aca="false">AC29*Ipotesi!$B$37+(AA29-AC29)*Ipotesi!$B$19</f>
        <v>3921.69856892973</v>
      </c>
      <c r="AE29" s="18" t="n">
        <f aca="false">SUMPRODUCT((Social!$C$6:$C$11&lt;=A29)*Social!$J$6:$J$11)</f>
        <v>920</v>
      </c>
      <c r="AF29" s="18" t="n">
        <f aca="false">SUMPRODUCT((Social!$C$6:$C$11&lt;=A29)*Social!$K$6:$K$11)</f>
        <v>433.333333333333</v>
      </c>
      <c r="AG29" s="18" t="n">
        <f aca="false">AC29*IF(A29&lt;=12,Ipotesi!$B$38,Ipotesi!$B$39)*Ipotesi!$B$22</f>
        <v>1003.43857515081</v>
      </c>
      <c r="AH29" s="18" t="n">
        <f aca="false">AD29-AE29-AF29-AG29</f>
        <v>1564.92666044558</v>
      </c>
      <c r="AI29" s="18" t="n">
        <f aca="false">AI28+AH29</f>
        <v>17020.3439137035</v>
      </c>
      <c r="AJ29" s="18" t="n">
        <f aca="false">U29+AI29</f>
        <v>144567.386570493</v>
      </c>
      <c r="AK29" s="18" t="n">
        <f aca="false">AC29*Ipotesi!$B$37*Ipotesi!$B$20+IF(A29&gt;Ipotesi!$B$21,INDEX($AC$5:$AC$40,A29-Ipotesi!$B$21)*Ipotesi!$B$37*(1-Ipotesi!$B$20),0)+(AA29-AC29)*Ipotesi!$B$19</f>
        <v>3788.16594481687</v>
      </c>
      <c r="AL29" s="18" t="n">
        <f aca="false">X29+SUM($AK$5:AK29)-SUM($AE$5:AE29)-SUM($AG$5:AG29)</f>
        <v>134976.182723247</v>
      </c>
      <c r="AM29" s="45" t="n">
        <f aca="false">IF(AJ29&gt;=0,A29,999)</f>
        <v>25</v>
      </c>
    </row>
    <row r="30" customFormat="false" ht="15" hidden="false" customHeight="false" outlineLevel="0" collapsed="false">
      <c r="A30" s="25" t="n">
        <v>26</v>
      </c>
      <c r="B30" s="45" t="n">
        <f aca="false">INT((A30-1)/12)+1</f>
        <v>3</v>
      </c>
      <c r="C30" s="45" t="n">
        <f aca="false">MOD(Ipotesi!$B$7-1+A30-1,12)+1</f>
        <v>12</v>
      </c>
      <c r="D30" s="46" t="n">
        <f aca="false">INDEX(Ipotesi!$B$58:$B$69,C30)</f>
        <v>0.8</v>
      </c>
      <c r="E30" s="45" t="n">
        <f aca="false">Ipotesi!$C$47*MIN(1,(A30/Ipotesi!$B$18)^2)*(1+Ipotesi!$C$48)^(MAX(0,A30-12)/12)*D30</f>
        <v>7107.61582544306</v>
      </c>
      <c r="F30" s="20" t="n">
        <f aca="false">E30*Ipotesi!$C$49</f>
        <v>21.3228474763292</v>
      </c>
      <c r="G30" s="20" t="n">
        <f aca="false">F30*Ipotesi!$C$50</f>
        <v>8.52913899053167</v>
      </c>
      <c r="H30" s="20" t="n">
        <f aca="false">G30*Ipotesi!$C$51</f>
        <v>5.117483394319</v>
      </c>
      <c r="I30" s="20" t="n">
        <f aca="false">IF(A30&lt;=12,Ipotesi!$B$42,Ipotesi!$B$43)</f>
        <v>10.0418410041841</v>
      </c>
      <c r="J30" s="20" t="n">
        <f aca="false">MIN(H30,I30)</f>
        <v>5.117483394319</v>
      </c>
      <c r="K30" s="20" t="n">
        <f aca="false">H30-J30</f>
        <v>0</v>
      </c>
      <c r="L30" s="18" t="n">
        <f aca="false">J30*Ipotesi!$B$37</f>
        <v>10414.0787074392</v>
      </c>
      <c r="M30" s="18" t="n">
        <f aca="false">(G30-J30)*Ipotesi!$B$19</f>
        <v>341.165559621267</v>
      </c>
      <c r="N30" s="18" t="n">
        <f aca="false">IF(A30&gt;=Ipotesi!$B$26,Ipotesi!$C$52*Ipotesi!$B$25/12,0)</f>
        <v>500</v>
      </c>
      <c r="O30" s="18" t="n">
        <f aca="false">IF(A30&gt;=Ipotesi!$B$27,Ipotesi!$C$53,0)</f>
        <v>500</v>
      </c>
      <c r="P30" s="18" t="n">
        <f aca="false">SUM(L30:O30)</f>
        <v>11755.2442670604</v>
      </c>
      <c r="Q30" s="18" t="n">
        <f aca="false">IF(A30=1,Ipotesi!$B$10+Ipotesi!$B$11,0)+Ipotesi!$B$8*Ipotesi!$B$9+Ipotesi!$B$12+Ipotesi!$B$13+Ipotesi!$B$16*52/12*Ipotesi!$B$17</f>
        <v>620</v>
      </c>
      <c r="R30" s="18" t="n">
        <f aca="false">Ipotesi!$B$14*52/12*Ipotesi!$B$15</f>
        <v>1040</v>
      </c>
      <c r="S30" s="18" t="n">
        <f aca="false">J30*IF(A30&lt;=12,Ipotesi!$B$38,Ipotesi!$B$39)*Ipotesi!$B$22</f>
        <v>2751.92669529504</v>
      </c>
      <c r="T30" s="18" t="n">
        <f aca="false">P30-Q30-R30-S30</f>
        <v>7343.31757176539</v>
      </c>
      <c r="U30" s="18" t="n">
        <f aca="false">U29+T30</f>
        <v>134890.360228555</v>
      </c>
      <c r="V30" s="18" t="n">
        <f aca="false">L30*Ipotesi!$B$20+IF(A30&gt;Ipotesi!$B$21,INDEX($L$5:$L$40,A30-Ipotesi!$B$21)*(1-Ipotesi!$B$20),0)+M30+N30+O30</f>
        <v>12049.1442437595</v>
      </c>
      <c r="W30" s="18" t="n">
        <f aca="false">V30-Q30-S30</f>
        <v>8677.21754846447</v>
      </c>
      <c r="X30" s="18" t="n">
        <f aca="false">X29+W30</f>
        <v>127313.077758655</v>
      </c>
      <c r="Y30" s="45" t="n">
        <f aca="false">IF(U30&gt;=0,A30,999)</f>
        <v>26</v>
      </c>
      <c r="Z30" s="20" t="n">
        <f aca="false">F30*SUMPRODUCT((Social!$C$6:$C$11&lt;=A30)*Social!$B$6:$B$11*Social!$I$6:$I$11)</f>
        <v>6.39685424289875</v>
      </c>
      <c r="AA30" s="20" t="n">
        <f aca="false">Z30*Ipotesi!$C$50</f>
        <v>2.5587416971595</v>
      </c>
      <c r="AB30" s="20" t="n">
        <f aca="false">AA30*Ipotesi!$C$51</f>
        <v>1.5352450182957</v>
      </c>
      <c r="AC30" s="20" t="n">
        <f aca="false">MIN(AB30,MAX(0,I30-J30))</f>
        <v>1.5352450182957</v>
      </c>
      <c r="AD30" s="18" t="n">
        <f aca="false">AC30*Ipotesi!$B$37+(AA30-AC30)*Ipotesi!$B$19</f>
        <v>3226.57328011813</v>
      </c>
      <c r="AE30" s="18" t="n">
        <f aca="false">SUMPRODUCT((Social!$C$6:$C$11&lt;=A30)*Social!$J$6:$J$11)</f>
        <v>920</v>
      </c>
      <c r="AF30" s="18" t="n">
        <f aca="false">SUMPRODUCT((Social!$C$6:$C$11&lt;=A30)*Social!$K$6:$K$11)</f>
        <v>433.333333333333</v>
      </c>
      <c r="AG30" s="18" t="n">
        <f aca="false">AC30*IF(A30&lt;=12,Ipotesi!$B$38,Ipotesi!$B$39)*Ipotesi!$B$22</f>
        <v>825.578008588513</v>
      </c>
      <c r="AH30" s="18" t="n">
        <f aca="false">AD30-AE30-AF30-AG30</f>
        <v>1047.66193819628</v>
      </c>
      <c r="AI30" s="18" t="n">
        <f aca="false">AI29+AH30</f>
        <v>18068.0058518998</v>
      </c>
      <c r="AJ30" s="18" t="n">
        <f aca="false">U30+AI30</f>
        <v>152958.366080455</v>
      </c>
      <c r="AK30" s="18" t="n">
        <f aca="false">AC30*Ipotesi!$B$37*Ipotesi!$B$20+IF(A30&gt;Ipotesi!$B$21,INDEX($AC$5:$AC$40,A30-Ipotesi!$B$21)*Ipotesi!$B$37*(1-Ipotesi!$B$20),0)+(AA30-AC30)*Ipotesi!$B$19</f>
        <v>3314.74327312785</v>
      </c>
      <c r="AL30" s="18" t="n">
        <f aca="false">X30+SUM($AK$5:AK30)-SUM($AE$5:AE30)-SUM($AG$5:AG30)</f>
        <v>145222.565536251</v>
      </c>
      <c r="AM30" s="45" t="n">
        <f aca="false">IF(AJ30&gt;=0,A30,999)</f>
        <v>26</v>
      </c>
    </row>
    <row r="31" customFormat="false" ht="15" hidden="false" customHeight="false" outlineLevel="0" collapsed="false">
      <c r="A31" s="25" t="n">
        <v>27</v>
      </c>
      <c r="B31" s="45" t="n">
        <f aca="false">INT((A31-1)/12)+1</f>
        <v>3</v>
      </c>
      <c r="C31" s="45" t="n">
        <f aca="false">MOD(Ipotesi!$B$7-1+A31-1,12)+1</f>
        <v>1</v>
      </c>
      <c r="D31" s="46" t="n">
        <f aca="false">INDEX(Ipotesi!$B$58:$B$69,C31)</f>
        <v>0.9</v>
      </c>
      <c r="E31" s="45" t="n">
        <f aca="false">Ipotesi!$C$47*MIN(1,(A31/Ipotesi!$B$18)^2)*(1+Ipotesi!$C$48)^(MAX(0,A31-12)/12)*D31</f>
        <v>8223.44523288582</v>
      </c>
      <c r="F31" s="20" t="n">
        <f aca="false">E31*Ipotesi!$C$49</f>
        <v>24.6703356986574</v>
      </c>
      <c r="G31" s="20" t="n">
        <f aca="false">F31*Ipotesi!$C$50</f>
        <v>9.86813427946298</v>
      </c>
      <c r="H31" s="20" t="n">
        <f aca="false">G31*Ipotesi!$C$51</f>
        <v>5.92088056767779</v>
      </c>
      <c r="I31" s="20" t="n">
        <f aca="false">IF(A31&lt;=12,Ipotesi!$B$42,Ipotesi!$B$43)</f>
        <v>10.0418410041841</v>
      </c>
      <c r="J31" s="20" t="n">
        <f aca="false">MIN(H31,I31)</f>
        <v>5.92088056767779</v>
      </c>
      <c r="K31" s="20" t="n">
        <f aca="false">H31-J31</f>
        <v>0</v>
      </c>
      <c r="L31" s="18" t="n">
        <f aca="false">J31*Ipotesi!$B$37</f>
        <v>12048.9919552243</v>
      </c>
      <c r="M31" s="18" t="n">
        <f aca="false">(G31-J31)*Ipotesi!$B$19</f>
        <v>394.725371178519</v>
      </c>
      <c r="N31" s="18" t="n">
        <f aca="false">IF(A31&gt;=Ipotesi!$B$26,Ipotesi!$C$52*Ipotesi!$B$25/12,0)</f>
        <v>500</v>
      </c>
      <c r="O31" s="18" t="n">
        <f aca="false">IF(A31&gt;=Ipotesi!$B$27,Ipotesi!$C$53,0)</f>
        <v>500</v>
      </c>
      <c r="P31" s="18" t="n">
        <f aca="false">SUM(L31:O31)</f>
        <v>13443.7173264028</v>
      </c>
      <c r="Q31" s="18" t="n">
        <f aca="false">IF(A31=1,Ipotesi!$B$10+Ipotesi!$B$11,0)+Ipotesi!$B$8*Ipotesi!$B$9+Ipotesi!$B$12+Ipotesi!$B$13+Ipotesi!$B$16*52/12*Ipotesi!$B$17</f>
        <v>620</v>
      </c>
      <c r="R31" s="18" t="n">
        <f aca="false">Ipotesi!$B$14*52/12*Ipotesi!$B$15</f>
        <v>1040</v>
      </c>
      <c r="S31" s="18" t="n">
        <f aca="false">J31*IF(A31&lt;=12,Ipotesi!$B$38,Ipotesi!$B$39)*Ipotesi!$B$22</f>
        <v>3183.95352526873</v>
      </c>
      <c r="T31" s="18" t="n">
        <f aca="false">P31-Q31-R31-S31</f>
        <v>8599.76380113409</v>
      </c>
      <c r="U31" s="18" t="n">
        <f aca="false">U30+T31</f>
        <v>143490.124029689</v>
      </c>
      <c r="V31" s="18" t="n">
        <f aca="false">L31*Ipotesi!$B$20+IF(A31&gt;Ipotesi!$B$21,INDEX($L$5:$L$40,A31-Ipotesi!$B$21)*(1-Ipotesi!$B$20),0)+M31+N31+O31</f>
        <v>13076.5862466504</v>
      </c>
      <c r="W31" s="18" t="n">
        <f aca="false">V31-Q31-S31</f>
        <v>9272.63272138165</v>
      </c>
      <c r="X31" s="18" t="n">
        <f aca="false">X30+W31</f>
        <v>136585.710480036</v>
      </c>
      <c r="Y31" s="45" t="n">
        <f aca="false">IF(U31&gt;=0,A31,999)</f>
        <v>27</v>
      </c>
      <c r="Z31" s="20" t="n">
        <f aca="false">F31*SUMPRODUCT((Social!$C$6:$C$11&lt;=A31)*Social!$B$6:$B$11*Social!$I$6:$I$11)</f>
        <v>7.40110070959723</v>
      </c>
      <c r="AA31" s="20" t="n">
        <f aca="false">Z31*Ipotesi!$C$50</f>
        <v>2.96044028383889</v>
      </c>
      <c r="AB31" s="20" t="n">
        <f aca="false">AA31*Ipotesi!$C$51</f>
        <v>1.77626417030334</v>
      </c>
      <c r="AC31" s="20" t="n">
        <f aca="false">MIN(AB31,MAX(0,I31-J31))</f>
        <v>1.77626417030334</v>
      </c>
      <c r="AD31" s="18" t="n">
        <f aca="false">AC31*Ipotesi!$B$37+(AA31-AC31)*Ipotesi!$B$19</f>
        <v>3733.11519792085</v>
      </c>
      <c r="AE31" s="18" t="n">
        <f aca="false">SUMPRODUCT((Social!$C$6:$C$11&lt;=A31)*Social!$J$6:$J$11)</f>
        <v>920</v>
      </c>
      <c r="AF31" s="18" t="n">
        <f aca="false">SUMPRODUCT((Social!$C$6:$C$11&lt;=A31)*Social!$K$6:$K$11)</f>
        <v>433.333333333333</v>
      </c>
      <c r="AG31" s="18" t="n">
        <f aca="false">AC31*IF(A31&lt;=12,Ipotesi!$B$38,Ipotesi!$B$39)*Ipotesi!$B$22</f>
        <v>955.186057580619</v>
      </c>
      <c r="AH31" s="18" t="n">
        <f aca="false">AD31-AE31-AF31-AG31</f>
        <v>1424.59580700689</v>
      </c>
      <c r="AI31" s="18" t="n">
        <f aca="false">AI30+AH31</f>
        <v>19492.6016589067</v>
      </c>
      <c r="AJ31" s="18" t="n">
        <f aca="false">U31+AI31</f>
        <v>162982.725688596</v>
      </c>
      <c r="AK31" s="18" t="n">
        <f aca="false">AC31*Ipotesi!$B$37*Ipotesi!$B$20+IF(A31&gt;Ipotesi!$B$21,INDEX($AC$5:$AC$40,A31-Ipotesi!$B$21)*Ipotesi!$B$37*(1-Ipotesi!$B$20),0)+(AA31-AC31)*Ipotesi!$B$19</f>
        <v>3622.97587399511</v>
      </c>
      <c r="AL31" s="18" t="n">
        <f aca="false">X31+SUM($AK$5:AK31)-SUM($AE$5:AE31)-SUM($AG$5:AG31)</f>
        <v>156242.988074047</v>
      </c>
      <c r="AM31" s="45" t="n">
        <f aca="false">IF(AJ31&gt;=0,A31,999)</f>
        <v>27</v>
      </c>
    </row>
    <row r="32" customFormat="false" ht="15" hidden="false" customHeight="false" outlineLevel="0" collapsed="false">
      <c r="A32" s="25" t="n">
        <v>28</v>
      </c>
      <c r="B32" s="45" t="n">
        <f aca="false">INT((A32-1)/12)+1</f>
        <v>3</v>
      </c>
      <c r="C32" s="45" t="n">
        <f aca="false">MOD(Ipotesi!$B$7-1+A32-1,12)+1</f>
        <v>2</v>
      </c>
      <c r="D32" s="46" t="n">
        <f aca="false">INDEX(Ipotesi!$B$58:$B$69,C32)</f>
        <v>1</v>
      </c>
      <c r="E32" s="45" t="n">
        <f aca="false">Ipotesi!$C$47*MIN(1,(A32/Ipotesi!$B$18)^2)*(1+Ipotesi!$C$48)^(MAX(0,A32-12)/12)*D32</f>
        <v>9396.98711348373</v>
      </c>
      <c r="F32" s="20" t="n">
        <f aca="false">E32*Ipotesi!$C$49</f>
        <v>28.1909613404512</v>
      </c>
      <c r="G32" s="20" t="n">
        <f aca="false">F32*Ipotesi!$C$50</f>
        <v>11.2763845361805</v>
      </c>
      <c r="H32" s="20" t="n">
        <f aca="false">G32*Ipotesi!$C$51</f>
        <v>6.76583072170829</v>
      </c>
      <c r="I32" s="20" t="n">
        <f aca="false">IF(A32&lt;=12,Ipotesi!$B$42,Ipotesi!$B$43)</f>
        <v>10.0418410041841</v>
      </c>
      <c r="J32" s="20" t="n">
        <f aca="false">MIN(H32,I32)</f>
        <v>6.76583072170829</v>
      </c>
      <c r="K32" s="20" t="n">
        <f aca="false">H32-J32</f>
        <v>0</v>
      </c>
      <c r="L32" s="18" t="n">
        <f aca="false">J32*Ipotesi!$B$37</f>
        <v>13768.4655186764</v>
      </c>
      <c r="M32" s="18" t="n">
        <f aca="false">(G32-J32)*Ipotesi!$B$19</f>
        <v>451.055381447219</v>
      </c>
      <c r="N32" s="18" t="n">
        <f aca="false">IF(A32&gt;=Ipotesi!$B$26,Ipotesi!$C$52*Ipotesi!$B$25/12,0)</f>
        <v>500</v>
      </c>
      <c r="O32" s="18" t="n">
        <f aca="false">IF(A32&gt;=Ipotesi!$B$27,Ipotesi!$C$53,0)</f>
        <v>500</v>
      </c>
      <c r="P32" s="18" t="n">
        <f aca="false">SUM(L32:O32)</f>
        <v>15219.5209001236</v>
      </c>
      <c r="Q32" s="18" t="n">
        <f aca="false">IF(A32=1,Ipotesi!$B$10+Ipotesi!$B$11,0)+Ipotesi!$B$8*Ipotesi!$B$9+Ipotesi!$B$12+Ipotesi!$B$13+Ipotesi!$B$16*52/12*Ipotesi!$B$17</f>
        <v>620</v>
      </c>
      <c r="R32" s="18" t="n">
        <f aca="false">Ipotesi!$B$14*52/12*Ipotesi!$B$15</f>
        <v>1040</v>
      </c>
      <c r="S32" s="18" t="n">
        <f aca="false">J32*IF(A32&lt;=12,Ipotesi!$B$38,Ipotesi!$B$39)*Ipotesi!$B$22</f>
        <v>3638.32547059863</v>
      </c>
      <c r="T32" s="18" t="n">
        <f aca="false">P32-Q32-R32-S32</f>
        <v>9921.19542952495</v>
      </c>
      <c r="U32" s="18" t="n">
        <f aca="false">U31+T32</f>
        <v>153411.319459214</v>
      </c>
      <c r="V32" s="18" t="n">
        <f aca="false">L32*Ipotesi!$B$20+IF(A32&gt;Ipotesi!$B$21,INDEX($L$5:$L$40,A32-Ipotesi!$B$21)*(1-Ipotesi!$B$20),0)+M32+N32+O32</f>
        <v>12408.0551657527</v>
      </c>
      <c r="W32" s="18" t="n">
        <f aca="false">V32-Q32-S32</f>
        <v>8149.72969515404</v>
      </c>
      <c r="X32" s="18" t="n">
        <f aca="false">X31+W32</f>
        <v>144735.44017519</v>
      </c>
      <c r="Y32" s="45" t="n">
        <f aca="false">IF(U32&gt;=0,A32,999)</f>
        <v>28</v>
      </c>
      <c r="Z32" s="20" t="n">
        <f aca="false">F32*SUMPRODUCT((Social!$C$6:$C$11&lt;=A32)*Social!$B$6:$B$11*Social!$I$6:$I$11)</f>
        <v>8.45728840213536</v>
      </c>
      <c r="AA32" s="20" t="n">
        <f aca="false">Z32*Ipotesi!$C$50</f>
        <v>3.38291536085414</v>
      </c>
      <c r="AB32" s="20" t="n">
        <f aca="false">AA32*Ipotesi!$C$51</f>
        <v>2.02974921651249</v>
      </c>
      <c r="AC32" s="20" t="n">
        <f aca="false">MIN(AB32,MAX(0,I32-J32))</f>
        <v>2.02974921651249</v>
      </c>
      <c r="AD32" s="18" t="n">
        <f aca="false">AC32*Ipotesi!$B$37+(AA32-AC32)*Ipotesi!$B$19</f>
        <v>4265.85627003708</v>
      </c>
      <c r="AE32" s="18" t="n">
        <f aca="false">SUMPRODUCT((Social!$C$6:$C$11&lt;=A32)*Social!$J$6:$J$11)</f>
        <v>920</v>
      </c>
      <c r="AF32" s="18" t="n">
        <f aca="false">SUMPRODUCT((Social!$C$6:$C$11&lt;=A32)*Social!$K$6:$K$11)</f>
        <v>433.333333333333</v>
      </c>
      <c r="AG32" s="18" t="n">
        <f aca="false">AC32*IF(A32&lt;=12,Ipotesi!$B$38,Ipotesi!$B$39)*Ipotesi!$B$22</f>
        <v>1091.49764117959</v>
      </c>
      <c r="AH32" s="18" t="n">
        <f aca="false">AD32-AE32-AF32-AG32</f>
        <v>1821.02529552415</v>
      </c>
      <c r="AI32" s="18" t="n">
        <f aca="false">AI31+AH32</f>
        <v>21313.6269544309</v>
      </c>
      <c r="AJ32" s="18" t="n">
        <f aca="false">U32+AI32</f>
        <v>174724.946413645</v>
      </c>
      <c r="AK32" s="18" t="n">
        <f aca="false">AC32*Ipotesi!$B$37*Ipotesi!$B$20+IF(A32&gt;Ipotesi!$B$21,INDEX($AC$5:$AC$40,A32-Ipotesi!$B$21)*Ipotesi!$B$37*(1-Ipotesi!$B$20),0)+(AA32-AC32)*Ipotesi!$B$19</f>
        <v>3422.4165497258</v>
      </c>
      <c r="AL32" s="18" t="n">
        <f aca="false">X32+SUM($AK$5:AK32)-SUM($AE$5:AE32)-SUM($AG$5:AG32)</f>
        <v>165803.636677747</v>
      </c>
      <c r="AM32" s="45" t="n">
        <f aca="false">IF(AJ32&gt;=0,A32,999)</f>
        <v>28</v>
      </c>
    </row>
    <row r="33" customFormat="false" ht="15" hidden="false" customHeight="false" outlineLevel="0" collapsed="false">
      <c r="A33" s="25" t="n">
        <v>29</v>
      </c>
      <c r="B33" s="45" t="n">
        <f aca="false">INT((A33-1)/12)+1</f>
        <v>3</v>
      </c>
      <c r="C33" s="45" t="n">
        <f aca="false">MOD(Ipotesi!$B$7-1+A33-1,12)+1</f>
        <v>3</v>
      </c>
      <c r="D33" s="46" t="n">
        <f aca="false">INDEX(Ipotesi!$B$58:$B$69,C33)</f>
        <v>1.1</v>
      </c>
      <c r="E33" s="45" t="n">
        <f aca="false">Ipotesi!$C$47*MIN(1,(A33/Ipotesi!$B$18)^2)*(1+Ipotesi!$C$48)^(MAX(0,A33-12)/12)*D33</f>
        <v>10630.6214326415</v>
      </c>
      <c r="F33" s="20" t="n">
        <f aca="false">E33*Ipotesi!$C$49</f>
        <v>31.8918642979245</v>
      </c>
      <c r="G33" s="20" t="n">
        <f aca="false">F33*Ipotesi!$C$50</f>
        <v>12.7567457191698</v>
      </c>
      <c r="H33" s="20" t="n">
        <f aca="false">G33*Ipotesi!$C$51</f>
        <v>7.65404743150188</v>
      </c>
      <c r="I33" s="20" t="n">
        <f aca="false">IF(A33&lt;=12,Ipotesi!$B$42,Ipotesi!$B$43)</f>
        <v>10.0418410041841</v>
      </c>
      <c r="J33" s="20" t="n">
        <f aca="false">MIN(H33,I33)</f>
        <v>7.65404743150188</v>
      </c>
      <c r="K33" s="20" t="n">
        <f aca="false">H33-J33</f>
        <v>0</v>
      </c>
      <c r="L33" s="18" t="n">
        <f aca="false">J33*Ipotesi!$B$37</f>
        <v>15575.9865231063</v>
      </c>
      <c r="M33" s="18" t="n">
        <f aca="false">(G33-J33)*Ipotesi!$B$19</f>
        <v>510.269828766792</v>
      </c>
      <c r="N33" s="18" t="n">
        <f aca="false">IF(A33&gt;=Ipotesi!$B$26,Ipotesi!$C$52*Ipotesi!$B$25/12,0)</f>
        <v>500</v>
      </c>
      <c r="O33" s="18" t="n">
        <f aca="false">IF(A33&gt;=Ipotesi!$B$27,Ipotesi!$C$53,0)</f>
        <v>500</v>
      </c>
      <c r="P33" s="18" t="n">
        <f aca="false">SUM(L33:O33)</f>
        <v>17086.2563518731</v>
      </c>
      <c r="Q33" s="18" t="n">
        <f aca="false">IF(A33=1,Ipotesi!$B$10+Ipotesi!$B$11,0)+Ipotesi!$B$8*Ipotesi!$B$9+Ipotesi!$B$12+Ipotesi!$B$13+Ipotesi!$B$16*52/12*Ipotesi!$B$17</f>
        <v>620</v>
      </c>
      <c r="R33" s="18" t="n">
        <f aca="false">Ipotesi!$B$14*52/12*Ipotesi!$B$15</f>
        <v>1040</v>
      </c>
      <c r="S33" s="18" t="n">
        <f aca="false">J33*IF(A33&lt;=12,Ipotesi!$B$38,Ipotesi!$B$39)*Ipotesi!$B$22</f>
        <v>4115.96400629014</v>
      </c>
      <c r="T33" s="18" t="n">
        <f aca="false">P33-Q33-R33-S33</f>
        <v>11310.292345583</v>
      </c>
      <c r="U33" s="18" t="n">
        <f aca="false">U32+T33</f>
        <v>164721.611804797</v>
      </c>
      <c r="V33" s="18" t="n">
        <f aca="false">L33*Ipotesi!$B$20+IF(A33&gt;Ipotesi!$B$21,INDEX($L$5:$L$40,A33-Ipotesi!$B$21)*(1-Ipotesi!$B$20),0)+M33+N33+O33</f>
        <v>15880.3187311186</v>
      </c>
      <c r="W33" s="18" t="n">
        <f aca="false">V33-Q33-S33</f>
        <v>11144.3547248285</v>
      </c>
      <c r="X33" s="18" t="n">
        <f aca="false">X32+W33</f>
        <v>155879.794900019</v>
      </c>
      <c r="Y33" s="45" t="n">
        <f aca="false">IF(U33&gt;=0,A33,999)</f>
        <v>29</v>
      </c>
      <c r="Z33" s="20" t="n">
        <f aca="false">F33*SUMPRODUCT((Social!$C$6:$C$11&lt;=A33)*Social!$B$6:$B$11*Social!$I$6:$I$11)</f>
        <v>9.56755928937735</v>
      </c>
      <c r="AA33" s="20" t="n">
        <f aca="false">Z33*Ipotesi!$C$50</f>
        <v>3.82702371575094</v>
      </c>
      <c r="AB33" s="20" t="n">
        <f aca="false">AA33*Ipotesi!$C$51</f>
        <v>2.29621422945056</v>
      </c>
      <c r="AC33" s="20" t="n">
        <f aca="false">MIN(AB33,MAX(0,I33-J33))</f>
        <v>2.29621422945056</v>
      </c>
      <c r="AD33" s="18" t="n">
        <f aca="false">AC33*Ipotesi!$B$37+(AA33-AC33)*Ipotesi!$B$19</f>
        <v>4825.87690556194</v>
      </c>
      <c r="AE33" s="18" t="n">
        <f aca="false">SUMPRODUCT((Social!$C$6:$C$11&lt;=A33)*Social!$J$6:$J$11)</f>
        <v>920</v>
      </c>
      <c r="AF33" s="18" t="n">
        <f aca="false">SUMPRODUCT((Social!$C$6:$C$11&lt;=A33)*Social!$K$6:$K$11)</f>
        <v>433.333333333333</v>
      </c>
      <c r="AG33" s="18" t="n">
        <f aca="false">AC33*IF(A33&lt;=12,Ipotesi!$B$38,Ipotesi!$B$39)*Ipotesi!$B$22</f>
        <v>1234.78920188704</v>
      </c>
      <c r="AH33" s="18" t="n">
        <f aca="false">AD33-AE33-AF33-AG33</f>
        <v>2237.75437034156</v>
      </c>
      <c r="AI33" s="18" t="n">
        <f aca="false">AI32+AH33</f>
        <v>23551.3813247724</v>
      </c>
      <c r="AJ33" s="18" t="n">
        <f aca="false">U33+AI33</f>
        <v>188272.993129569</v>
      </c>
      <c r="AK33" s="18" t="n">
        <f aca="false">AC33*Ipotesi!$B$37*Ipotesi!$B$20+IF(A33&gt;Ipotesi!$B$21,INDEX($AC$5:$AC$40,A33-Ipotesi!$B$21)*Ipotesi!$B$37*(1-Ipotesi!$B$20),0)+(AA33-AC33)*Ipotesi!$B$19</f>
        <v>4464.09561933559</v>
      </c>
      <c r="AL33" s="18" t="n">
        <f aca="false">X33+SUM($AK$5:AK33)-SUM($AE$5:AE33)-SUM($AG$5:AG33)</f>
        <v>179257.297820024</v>
      </c>
      <c r="AM33" s="45" t="n">
        <f aca="false">IF(AJ33&gt;=0,A33,999)</f>
        <v>29</v>
      </c>
    </row>
    <row r="34" customFormat="false" ht="15" hidden="false" customHeight="false" outlineLevel="0" collapsed="false">
      <c r="A34" s="25" t="n">
        <v>30</v>
      </c>
      <c r="B34" s="45" t="n">
        <f aca="false">INT((A34-1)/12)+1</f>
        <v>3</v>
      </c>
      <c r="C34" s="45" t="n">
        <f aca="false">MOD(Ipotesi!$B$7-1+A34-1,12)+1</f>
        <v>4</v>
      </c>
      <c r="D34" s="46" t="n">
        <f aca="false">INDEX(Ipotesi!$B$58:$B$69,C34)</f>
        <v>1.2</v>
      </c>
      <c r="E34" s="45" t="n">
        <f aca="false">Ipotesi!$C$47*MIN(1,(A34/Ipotesi!$B$18)^2)*(1+Ipotesi!$C$48)^(MAX(0,A34-12)/12)*D34</f>
        <v>11926.8168427288</v>
      </c>
      <c r="F34" s="20" t="n">
        <f aca="false">E34*Ipotesi!$C$49</f>
        <v>35.7804505281865</v>
      </c>
      <c r="G34" s="20" t="n">
        <f aca="false">F34*Ipotesi!$C$50</f>
        <v>14.3121802112746</v>
      </c>
      <c r="H34" s="20" t="n">
        <f aca="false">G34*Ipotesi!$C$51</f>
        <v>8.58730812676475</v>
      </c>
      <c r="I34" s="20" t="n">
        <f aca="false">IF(A34&lt;=12,Ipotesi!$B$42,Ipotesi!$B$43)</f>
        <v>10.0418410041841</v>
      </c>
      <c r="J34" s="20" t="n">
        <f aca="false">MIN(H34,I34)</f>
        <v>8.58730812676475</v>
      </c>
      <c r="K34" s="20" t="n">
        <f aca="false">H34-J34</f>
        <v>0</v>
      </c>
      <c r="L34" s="18" t="n">
        <f aca="false">J34*Ipotesi!$B$37</f>
        <v>17475.1720379663</v>
      </c>
      <c r="M34" s="18" t="n">
        <f aca="false">(G34-J34)*Ipotesi!$B$19</f>
        <v>572.487208450984</v>
      </c>
      <c r="N34" s="18" t="n">
        <f aca="false">IF(A34&gt;=Ipotesi!$B$26,Ipotesi!$C$52*Ipotesi!$B$25/12,0)</f>
        <v>500</v>
      </c>
      <c r="O34" s="18" t="n">
        <f aca="false">IF(A34&gt;=Ipotesi!$B$27,Ipotesi!$C$53,0)</f>
        <v>500</v>
      </c>
      <c r="P34" s="18" t="n">
        <f aca="false">SUM(L34:O34)</f>
        <v>19047.6592464173</v>
      </c>
      <c r="Q34" s="18" t="n">
        <f aca="false">IF(A34=1,Ipotesi!$B$10+Ipotesi!$B$11,0)+Ipotesi!$B$8*Ipotesi!$B$9+Ipotesi!$B$12+Ipotesi!$B$13+Ipotesi!$B$16*52/12*Ipotesi!$B$17</f>
        <v>620</v>
      </c>
      <c r="R34" s="18" t="n">
        <f aca="false">Ipotesi!$B$14*52/12*Ipotesi!$B$15</f>
        <v>1040</v>
      </c>
      <c r="S34" s="18" t="n">
        <f aca="false">J34*IF(A34&lt;=12,Ipotesi!$B$38,Ipotesi!$B$39)*Ipotesi!$B$22</f>
        <v>4617.82494516775</v>
      </c>
      <c r="T34" s="18" t="n">
        <f aca="false">P34-Q34-R34-S34</f>
        <v>12769.8343012495</v>
      </c>
      <c r="U34" s="18" t="n">
        <f aca="false">U33+T34</f>
        <v>177491.446106046</v>
      </c>
      <c r="V34" s="18" t="n">
        <f aca="false">L34*Ipotesi!$B$20+IF(A34&gt;Ipotesi!$B$21,INDEX($L$5:$L$40,A34-Ipotesi!$B$21)*(1-Ipotesi!$B$20),0)+M34+N34+O34</f>
        <v>17079.2972274341</v>
      </c>
      <c r="W34" s="18" t="n">
        <f aca="false">V34-Q34-S34</f>
        <v>11841.4722822664</v>
      </c>
      <c r="X34" s="18" t="n">
        <f aca="false">X33+W34</f>
        <v>167721.267182285</v>
      </c>
      <c r="Y34" s="45" t="n">
        <f aca="false">IF(U34&gt;=0,A34,999)</f>
        <v>30</v>
      </c>
      <c r="Z34" s="20" t="n">
        <f aca="false">F34*SUMPRODUCT((Social!$C$6:$C$11&lt;=A34)*Social!$B$6:$B$11*Social!$I$6:$I$11)</f>
        <v>10.7341351584559</v>
      </c>
      <c r="AA34" s="20" t="n">
        <f aca="false">Z34*Ipotesi!$C$50</f>
        <v>4.29365406338238</v>
      </c>
      <c r="AB34" s="20" t="n">
        <f aca="false">AA34*Ipotesi!$C$51</f>
        <v>2.57619243802943</v>
      </c>
      <c r="AC34" s="20" t="n">
        <f aca="false">MIN(AB34,MAX(0,I34-J34))</f>
        <v>1.45453287741935</v>
      </c>
      <c r="AD34" s="18" t="n">
        <f aca="false">AC34*Ipotesi!$B$37+(AA34-AC34)*Ipotesi!$B$19</f>
        <v>3243.88652414468</v>
      </c>
      <c r="AE34" s="18" t="n">
        <f aca="false">SUMPRODUCT((Social!$C$6:$C$11&lt;=A34)*Social!$J$6:$J$11)</f>
        <v>920</v>
      </c>
      <c r="AF34" s="18" t="n">
        <f aca="false">SUMPRODUCT((Social!$C$6:$C$11&lt;=A34)*Social!$K$6:$K$11)</f>
        <v>433.333333333333</v>
      </c>
      <c r="AG34" s="18" t="n">
        <f aca="false">AC34*IF(A34&lt;=12,Ipotesi!$B$38,Ipotesi!$B$39)*Ipotesi!$B$22</f>
        <v>782.175054832254</v>
      </c>
      <c r="AH34" s="18" t="n">
        <f aca="false">AD34-AE34-AF34-AG34</f>
        <v>1108.37813597909</v>
      </c>
      <c r="AI34" s="18" t="n">
        <f aca="false">AI33+AH34</f>
        <v>24659.7594607515</v>
      </c>
      <c r="AJ34" s="18" t="n">
        <f aca="false">U34+AI34</f>
        <v>202151.205566798</v>
      </c>
      <c r="AK34" s="18" t="n">
        <f aca="false">AC34*Ipotesi!$B$37*Ipotesi!$B$20+IF(A34&gt;Ipotesi!$B$21,INDEX($AC$5:$AC$40,A34-Ipotesi!$B$21)*Ipotesi!$B$37*(1-Ipotesi!$B$20),0)+(AA34-AC34)*Ipotesi!$B$19</f>
        <v>3794.66652137049</v>
      </c>
      <c r="AL34" s="18" t="n">
        <f aca="false">X34+SUM($AK$5:AK34)-SUM($AE$5:AE34)-SUM($AG$5:AG34)</f>
        <v>193191.261568829</v>
      </c>
      <c r="AM34" s="45" t="n">
        <f aca="false">IF(AJ34&gt;=0,A34,999)</f>
        <v>30</v>
      </c>
    </row>
    <row r="35" customFormat="false" ht="15" hidden="false" customHeight="false" outlineLevel="0" collapsed="false">
      <c r="A35" s="25" t="n">
        <v>31</v>
      </c>
      <c r="B35" s="45" t="n">
        <f aca="false">INT((A35-1)/12)+1</f>
        <v>3</v>
      </c>
      <c r="C35" s="45" t="n">
        <f aca="false">MOD(Ipotesi!$B$7-1+A35-1,12)+1</f>
        <v>5</v>
      </c>
      <c r="D35" s="46" t="n">
        <f aca="false">INDEX(Ipotesi!$B$58:$B$69,C35)</f>
        <v>1.1</v>
      </c>
      <c r="E35" s="45" t="n">
        <f aca="false">Ipotesi!$C$47*MIN(1,(A35/Ipotesi!$B$18)^2)*(1+Ipotesi!$C$48)^(MAX(0,A35-12)/12)*D35</f>
        <v>11243.8055251394</v>
      </c>
      <c r="F35" s="20" t="n">
        <f aca="false">E35*Ipotesi!$C$49</f>
        <v>33.7314165754182</v>
      </c>
      <c r="G35" s="20" t="n">
        <f aca="false">F35*Ipotesi!$C$50</f>
        <v>13.4925666301673</v>
      </c>
      <c r="H35" s="20" t="n">
        <f aca="false">G35*Ipotesi!$C$51</f>
        <v>8.09553997810038</v>
      </c>
      <c r="I35" s="20" t="n">
        <f aca="false">IF(A35&lt;=12,Ipotesi!$B$42,Ipotesi!$B$43)</f>
        <v>10.0418410041841</v>
      </c>
      <c r="J35" s="20" t="n">
        <f aca="false">MIN(H35,I35)</f>
        <v>8.09553997810038</v>
      </c>
      <c r="K35" s="20" t="n">
        <f aca="false">H35-J35</f>
        <v>0</v>
      </c>
      <c r="L35" s="18" t="n">
        <f aca="false">J35*Ipotesi!$B$37</f>
        <v>16474.4238554343</v>
      </c>
      <c r="M35" s="18" t="n">
        <f aca="false">(G35-J35)*Ipotesi!$B$19</f>
        <v>539.702665206692</v>
      </c>
      <c r="N35" s="18" t="n">
        <f aca="false">IF(A35&gt;=Ipotesi!$B$26,Ipotesi!$C$52*Ipotesi!$B$25/12,0)</f>
        <v>500</v>
      </c>
      <c r="O35" s="18" t="n">
        <f aca="false">IF(A35&gt;=Ipotesi!$B$27,Ipotesi!$C$53,0)</f>
        <v>500</v>
      </c>
      <c r="P35" s="18" t="n">
        <f aca="false">SUM(L35:O35)</f>
        <v>18014.126520641</v>
      </c>
      <c r="Q35" s="18" t="n">
        <f aca="false">IF(A35=1,Ipotesi!$B$10+Ipotesi!$B$11,0)+Ipotesi!$B$8*Ipotesi!$B$9+Ipotesi!$B$12+Ipotesi!$B$13+Ipotesi!$B$16*52/12*Ipotesi!$B$17</f>
        <v>620</v>
      </c>
      <c r="R35" s="18" t="n">
        <f aca="false">Ipotesi!$B$14*52/12*Ipotesi!$B$15</f>
        <v>1040</v>
      </c>
      <c r="S35" s="18" t="n">
        <f aca="false">J35*IF(A35&lt;=12,Ipotesi!$B$38,Ipotesi!$B$39)*Ipotesi!$B$22</f>
        <v>4353.37662322348</v>
      </c>
      <c r="T35" s="18" t="n">
        <f aca="false">P35-Q35-R35-S35</f>
        <v>12000.7498974175</v>
      </c>
      <c r="U35" s="18" t="n">
        <f aca="false">U34+T35</f>
        <v>189492.196003464</v>
      </c>
      <c r="V35" s="18" t="n">
        <f aca="false">L35*Ipotesi!$B$20+IF(A35&gt;Ipotesi!$B$21,INDEX($L$5:$L$40,A35-Ipotesi!$B$21)*(1-Ipotesi!$B$20),0)+M35+N35+O35</f>
        <v>16105.7461454789</v>
      </c>
      <c r="W35" s="18" t="n">
        <f aca="false">V35-Q35-S35</f>
        <v>11132.3695222555</v>
      </c>
      <c r="X35" s="18" t="n">
        <f aca="false">X34+W35</f>
        <v>178853.636704541</v>
      </c>
      <c r="Y35" s="45" t="n">
        <f aca="false">IF(U35&gt;=0,A35,999)</f>
        <v>31</v>
      </c>
      <c r="Z35" s="20" t="n">
        <f aca="false">F35*SUMPRODUCT((Social!$C$6:$C$11&lt;=A35)*Social!$B$6:$B$11*Social!$I$6:$I$11)</f>
        <v>10.1194249726255</v>
      </c>
      <c r="AA35" s="20" t="n">
        <f aca="false">Z35*Ipotesi!$C$50</f>
        <v>4.04776998905019</v>
      </c>
      <c r="AB35" s="20" t="n">
        <f aca="false">AA35*Ipotesi!$C$51</f>
        <v>2.42866199343011</v>
      </c>
      <c r="AC35" s="20" t="n">
        <f aca="false">MIN(AB35,MAX(0,I35-J35))</f>
        <v>1.94630102608372</v>
      </c>
      <c r="AD35" s="18" t="n">
        <f aca="false">AC35*Ipotesi!$B$37+(AA35-AC35)*Ipotesi!$B$19</f>
        <v>4170.86948437702</v>
      </c>
      <c r="AE35" s="18" t="n">
        <f aca="false">SUMPRODUCT((Social!$C$6:$C$11&lt;=A35)*Social!$J$6:$J$11)</f>
        <v>920</v>
      </c>
      <c r="AF35" s="18" t="n">
        <f aca="false">SUMPRODUCT((Social!$C$6:$C$11&lt;=A35)*Social!$K$6:$K$11)</f>
        <v>433.333333333333</v>
      </c>
      <c r="AG35" s="18" t="n">
        <f aca="false">AC35*IF(A35&lt;=12,Ipotesi!$B$38,Ipotesi!$B$39)*Ipotesi!$B$22</f>
        <v>1046.62337677652</v>
      </c>
      <c r="AH35" s="18" t="n">
        <f aca="false">AD35-AE35-AF35-AG35</f>
        <v>1770.91277426717</v>
      </c>
      <c r="AI35" s="18" t="n">
        <f aca="false">AI34+AH35</f>
        <v>26430.6722350187</v>
      </c>
      <c r="AJ35" s="18" t="n">
        <f aca="false">U35+AI35</f>
        <v>215922.868238483</v>
      </c>
      <c r="AK35" s="18" t="n">
        <f aca="false">AC35*Ipotesi!$B$37*Ipotesi!$B$20+IF(A35&gt;Ipotesi!$B$21,INDEX($AC$5:$AC$40,A35-Ipotesi!$B$21)*Ipotesi!$B$37*(1-Ipotesi!$B$20),0)+(AA35-AC35)*Ipotesi!$B$19</f>
        <v>4089.15765610337</v>
      </c>
      <c r="AL35" s="18" t="n">
        <f aca="false">X35+SUM($AK$5:AK35)-SUM($AE$5:AE35)-SUM($AG$5:AG35)</f>
        <v>206446.165370411</v>
      </c>
      <c r="AM35" s="45" t="n">
        <f aca="false">IF(AJ35&gt;=0,A35,999)</f>
        <v>31</v>
      </c>
    </row>
    <row r="36" customFormat="false" ht="15" hidden="false" customHeight="false" outlineLevel="0" collapsed="false">
      <c r="A36" s="25" t="n">
        <v>32</v>
      </c>
      <c r="B36" s="45" t="n">
        <f aca="false">INT((A36-1)/12)+1</f>
        <v>3</v>
      </c>
      <c r="C36" s="45" t="n">
        <f aca="false">MOD(Ipotesi!$B$7-1+A36-1,12)+1</f>
        <v>6</v>
      </c>
      <c r="D36" s="46" t="n">
        <f aca="false">INDEX(Ipotesi!$B$58:$B$69,C36)</f>
        <v>1</v>
      </c>
      <c r="E36" s="45" t="n">
        <f aca="false">Ipotesi!$C$47*MIN(1,(A36/Ipotesi!$B$18)^2)*(1+Ipotesi!$C$48)^(MAX(0,A36-12)/12)*D36</f>
        <v>10512.3055727356</v>
      </c>
      <c r="F36" s="20" t="n">
        <f aca="false">E36*Ipotesi!$C$49</f>
        <v>31.5369167182069</v>
      </c>
      <c r="G36" s="20" t="n">
        <f aca="false">F36*Ipotesi!$C$50</f>
        <v>12.6147666872828</v>
      </c>
      <c r="H36" s="20" t="n">
        <f aca="false">G36*Ipotesi!$C$51</f>
        <v>7.56886001236966</v>
      </c>
      <c r="I36" s="20" t="n">
        <f aca="false">IF(A36&lt;=12,Ipotesi!$B$42,Ipotesi!$B$43)</f>
        <v>10.0418410041841</v>
      </c>
      <c r="J36" s="20" t="n">
        <f aca="false">MIN(H36,I36)</f>
        <v>7.56886001236966</v>
      </c>
      <c r="K36" s="20" t="n">
        <f aca="false">H36-J36</f>
        <v>0</v>
      </c>
      <c r="L36" s="18" t="n">
        <f aca="false">J36*Ipotesi!$B$37</f>
        <v>15402.6301251723</v>
      </c>
      <c r="M36" s="18" t="n">
        <f aca="false">(G36-J36)*Ipotesi!$B$19</f>
        <v>504.590667491311</v>
      </c>
      <c r="N36" s="18" t="n">
        <f aca="false">IF(A36&gt;=Ipotesi!$B$26,Ipotesi!$C$52*Ipotesi!$B$25/12,0)</f>
        <v>500</v>
      </c>
      <c r="O36" s="18" t="n">
        <f aca="false">IF(A36&gt;=Ipotesi!$B$27,Ipotesi!$C$53,0)</f>
        <v>500</v>
      </c>
      <c r="P36" s="18" t="n">
        <f aca="false">SUM(L36:O36)</f>
        <v>16907.2207926636</v>
      </c>
      <c r="Q36" s="18" t="n">
        <f aca="false">IF(A36=1,Ipotesi!$B$10+Ipotesi!$B$11,0)+Ipotesi!$B$8*Ipotesi!$B$9+Ipotesi!$B$12+Ipotesi!$B$13+Ipotesi!$B$16*52/12*Ipotesi!$B$17</f>
        <v>620</v>
      </c>
      <c r="R36" s="18" t="n">
        <f aca="false">Ipotesi!$B$14*52/12*Ipotesi!$B$15</f>
        <v>1040</v>
      </c>
      <c r="S36" s="18" t="n">
        <f aca="false">J36*IF(A36&lt;=12,Ipotesi!$B$38,Ipotesi!$B$39)*Ipotesi!$B$22</f>
        <v>4070.15447165178</v>
      </c>
      <c r="T36" s="18" t="n">
        <f aca="false">P36-Q36-R36-S36</f>
        <v>11177.0663210118</v>
      </c>
      <c r="U36" s="18" t="n">
        <f aca="false">U35+T36</f>
        <v>200669.262324476</v>
      </c>
      <c r="V36" s="18" t="n">
        <f aca="false">L36*Ipotesi!$B$20+IF(A36&gt;Ipotesi!$B$21,INDEX($L$5:$L$40,A36-Ipotesi!$B$21)*(1-Ipotesi!$B$20),0)+M36+N36+O36</f>
        <v>14412.945083797</v>
      </c>
      <c r="W36" s="18" t="n">
        <f aca="false">V36-Q36-S36</f>
        <v>9722.79061214524</v>
      </c>
      <c r="X36" s="18" t="n">
        <f aca="false">X35+W36</f>
        <v>188576.427316686</v>
      </c>
      <c r="Y36" s="45" t="n">
        <f aca="false">IF(U36&gt;=0,A36,999)</f>
        <v>32</v>
      </c>
      <c r="Z36" s="20" t="n">
        <f aca="false">F36*SUMPRODUCT((Social!$C$6:$C$11&lt;=A36)*Social!$B$6:$B$11*Social!$I$6:$I$11)</f>
        <v>9.46107501546207</v>
      </c>
      <c r="AA36" s="20" t="n">
        <f aca="false">Z36*Ipotesi!$C$50</f>
        <v>3.78443000618483</v>
      </c>
      <c r="AB36" s="20" t="n">
        <f aca="false">AA36*Ipotesi!$C$51</f>
        <v>2.2706580037109</v>
      </c>
      <c r="AC36" s="20" t="n">
        <f aca="false">MIN(AB36,MAX(0,I36-J36))</f>
        <v>2.2706580037109</v>
      </c>
      <c r="AD36" s="18" t="n">
        <f aca="false">AC36*Ipotesi!$B$37+(AA36-AC36)*Ipotesi!$B$19</f>
        <v>4772.16623779907</v>
      </c>
      <c r="AE36" s="18" t="n">
        <f aca="false">SUMPRODUCT((Social!$C$6:$C$11&lt;=A36)*Social!$J$6:$J$11)</f>
        <v>920</v>
      </c>
      <c r="AF36" s="18" t="n">
        <f aca="false">SUMPRODUCT((Social!$C$6:$C$11&lt;=A36)*Social!$K$6:$K$11)</f>
        <v>433.333333333333</v>
      </c>
      <c r="AG36" s="18" t="n">
        <f aca="false">AC36*IF(A36&lt;=12,Ipotesi!$B$38,Ipotesi!$B$39)*Ipotesi!$B$22</f>
        <v>1221.04634149554</v>
      </c>
      <c r="AH36" s="18" t="n">
        <f aca="false">AD36-AE36-AF36-AG36</f>
        <v>2197.7865629702</v>
      </c>
      <c r="AI36" s="18" t="n">
        <f aca="false">AI35+AH36</f>
        <v>28628.4587979889</v>
      </c>
      <c r="AJ36" s="18" t="n">
        <f aca="false">U36+AI36</f>
        <v>229297.721122465</v>
      </c>
      <c r="AK36" s="18" t="n">
        <f aca="false">AC36*Ipotesi!$B$37*Ipotesi!$B$20+IF(A36&gt;Ipotesi!$B$21,INDEX($AC$5:$AC$40,A36-Ipotesi!$B$21)*Ipotesi!$B$37*(1-Ipotesi!$B$20),0)+(AA36-AC36)*Ipotesi!$B$19</f>
        <v>4023.88352513911</v>
      </c>
      <c r="AL36" s="18" t="n">
        <f aca="false">X36+SUM($AK$5:AK36)-SUM($AE$5:AE36)-SUM($AG$5:AG36)</f>
        <v>218051.7931662</v>
      </c>
      <c r="AM36" s="45" t="n">
        <f aca="false">IF(AJ36&gt;=0,A36,999)</f>
        <v>32</v>
      </c>
    </row>
    <row r="37" customFormat="false" ht="15" hidden="false" customHeight="false" outlineLevel="0" collapsed="false">
      <c r="A37" s="25" t="n">
        <v>33</v>
      </c>
      <c r="B37" s="45" t="n">
        <f aca="false">INT((A37-1)/12)+1</f>
        <v>3</v>
      </c>
      <c r="C37" s="45" t="n">
        <f aca="false">MOD(Ipotesi!$B$7-1+A37-1,12)+1</f>
        <v>7</v>
      </c>
      <c r="D37" s="46" t="n">
        <f aca="false">INDEX(Ipotesi!$B$58:$B$69,C37)</f>
        <v>1</v>
      </c>
      <c r="E37" s="45" t="n">
        <f aca="false">Ipotesi!$C$47*MIN(1,(A37/Ipotesi!$B$18)^2)*(1+Ipotesi!$C$48)^(MAX(0,A37-12)/12)*D37</f>
        <v>10811.235131045</v>
      </c>
      <c r="F37" s="20" t="n">
        <f aca="false">E37*Ipotesi!$C$49</f>
        <v>32.4337053931351</v>
      </c>
      <c r="G37" s="20" t="n">
        <f aca="false">F37*Ipotesi!$C$50</f>
        <v>12.973482157254</v>
      </c>
      <c r="H37" s="20" t="n">
        <f aca="false">G37*Ipotesi!$C$51</f>
        <v>7.78408929435243</v>
      </c>
      <c r="I37" s="20" t="n">
        <f aca="false">IF(A37&lt;=12,Ipotesi!$B$42,Ipotesi!$B$43)</f>
        <v>10.0418410041841</v>
      </c>
      <c r="J37" s="20" t="n">
        <f aca="false">MIN(H37,I37)</f>
        <v>7.78408929435243</v>
      </c>
      <c r="K37" s="20" t="n">
        <f aca="false">H37-J37</f>
        <v>0</v>
      </c>
      <c r="L37" s="18" t="n">
        <f aca="false">J37*Ipotesi!$B$37</f>
        <v>15840.6217140072</v>
      </c>
      <c r="M37" s="18" t="n">
        <f aca="false">(G37-J37)*Ipotesi!$B$19</f>
        <v>518.939286290162</v>
      </c>
      <c r="N37" s="18" t="n">
        <f aca="false">IF(A37&gt;=Ipotesi!$B$26,Ipotesi!$C$52*Ipotesi!$B$25/12,0)</f>
        <v>500</v>
      </c>
      <c r="O37" s="18" t="n">
        <f aca="false">IF(A37&gt;=Ipotesi!$B$27,Ipotesi!$C$53,0)</f>
        <v>500</v>
      </c>
      <c r="P37" s="18" t="n">
        <f aca="false">SUM(L37:O37)</f>
        <v>17359.5610002974</v>
      </c>
      <c r="Q37" s="18" t="n">
        <f aca="false">IF(A37=1,Ipotesi!$B$10+Ipotesi!$B$11,0)+Ipotesi!$B$8*Ipotesi!$B$9+Ipotesi!$B$12+Ipotesi!$B$13+Ipotesi!$B$16*52/12*Ipotesi!$B$17</f>
        <v>620</v>
      </c>
      <c r="R37" s="18" t="n">
        <f aca="false">Ipotesi!$B$14*52/12*Ipotesi!$B$15</f>
        <v>1040</v>
      </c>
      <c r="S37" s="18" t="n">
        <f aca="false">J37*IF(A37&lt;=12,Ipotesi!$B$38,Ipotesi!$B$39)*Ipotesi!$B$22</f>
        <v>4185.89401803802</v>
      </c>
      <c r="T37" s="18" t="n">
        <f aca="false">P37-Q37-R37-S37</f>
        <v>11513.6669822593</v>
      </c>
      <c r="U37" s="18" t="n">
        <f aca="false">U36+T37</f>
        <v>212182.929306735</v>
      </c>
      <c r="V37" s="18" t="n">
        <f aca="false">L37*Ipotesi!$B$20+IF(A37&gt;Ipotesi!$B$21,INDEX($L$5:$L$40,A37-Ipotesi!$B$21)*(1-Ipotesi!$B$20),0)+M37+N37+O37</f>
        <v>15463.7461209059</v>
      </c>
      <c r="W37" s="18" t="n">
        <f aca="false">V37-Q37-S37</f>
        <v>10657.8521028679</v>
      </c>
      <c r="X37" s="18" t="n">
        <f aca="false">X36+W37</f>
        <v>199234.279419554</v>
      </c>
      <c r="Y37" s="45" t="n">
        <f aca="false">IF(U37&gt;=0,A37,999)</f>
        <v>33</v>
      </c>
      <c r="Z37" s="20" t="n">
        <f aca="false">F37*SUMPRODUCT((Social!$C$6:$C$11&lt;=A37)*Social!$B$6:$B$11*Social!$I$6:$I$11)</f>
        <v>9.73011161794054</v>
      </c>
      <c r="AA37" s="20" t="n">
        <f aca="false">Z37*Ipotesi!$C$50</f>
        <v>3.89204464717621</v>
      </c>
      <c r="AB37" s="20" t="n">
        <f aca="false">AA37*Ipotesi!$C$51</f>
        <v>2.33522678830573</v>
      </c>
      <c r="AC37" s="20" t="n">
        <f aca="false">MIN(AB37,MAX(0,I37-J37))</f>
        <v>2.25775170983167</v>
      </c>
      <c r="AD37" s="18" t="n">
        <f aca="false">AC37*Ipotesi!$B$37+(AA37-AC37)*Ipotesi!$B$19</f>
        <v>4757.95402324191</v>
      </c>
      <c r="AE37" s="18" t="n">
        <f aca="false">SUMPRODUCT((Social!$C$6:$C$11&lt;=A37)*Social!$J$6:$J$11)</f>
        <v>920</v>
      </c>
      <c r="AF37" s="18" t="n">
        <f aca="false">SUMPRODUCT((Social!$C$6:$C$11&lt;=A37)*Social!$K$6:$K$11)</f>
        <v>433.333333333333</v>
      </c>
      <c r="AG37" s="18" t="n">
        <f aca="false">AC37*IF(A37&lt;=12,Ipotesi!$B$38,Ipotesi!$B$39)*Ipotesi!$B$22</f>
        <v>1214.10598196198</v>
      </c>
      <c r="AH37" s="18" t="n">
        <f aca="false">AD37-AE37-AF37-AG37</f>
        <v>2190.51470794659</v>
      </c>
      <c r="AI37" s="18" t="n">
        <f aca="false">AI36+AH37</f>
        <v>30818.9735059355</v>
      </c>
      <c r="AJ37" s="18" t="n">
        <f aca="false">U37+AI37</f>
        <v>243001.902812671</v>
      </c>
      <c r="AK37" s="18" t="n">
        <f aca="false">AC37*Ipotesi!$B$37*Ipotesi!$B$20+IF(A37&gt;Ipotesi!$B$21,INDEX($AC$5:$AC$40,A37-Ipotesi!$B$21)*Ipotesi!$B$37*(1-Ipotesi!$B$20),0)+(AA37-AC37)*Ipotesi!$B$19</f>
        <v>4268.04045177183</v>
      </c>
      <c r="AL37" s="18" t="n">
        <f aca="false">X37+SUM($AK$5:AK37)-SUM($AE$5:AE37)-SUM($AG$5:AG37)</f>
        <v>230843.579738878</v>
      </c>
      <c r="AM37" s="45" t="n">
        <f aca="false">IF(AJ37&gt;=0,A37,999)</f>
        <v>33</v>
      </c>
    </row>
    <row r="38" customFormat="false" ht="15" hidden="false" customHeight="false" outlineLevel="0" collapsed="false">
      <c r="A38" s="25" t="n">
        <v>34</v>
      </c>
      <c r="B38" s="45" t="n">
        <f aca="false">INT((A38-1)/12)+1</f>
        <v>3</v>
      </c>
      <c r="C38" s="45" t="n">
        <f aca="false">MOD(Ipotesi!$B$7-1+A38-1,12)+1</f>
        <v>8</v>
      </c>
      <c r="D38" s="46" t="n">
        <f aca="false">INDEX(Ipotesi!$B$58:$B$69,C38)</f>
        <v>0.7</v>
      </c>
      <c r="E38" s="45" t="n">
        <f aca="false">Ipotesi!$C$47*MIN(1,(A38/Ipotesi!$B$18)^2)*(1+Ipotesi!$C$48)^(MAX(0,A38-12)/12)*D38</f>
        <v>7783.06556777802</v>
      </c>
      <c r="F38" s="20" t="n">
        <f aca="false">E38*Ipotesi!$C$49</f>
        <v>23.3491967033341</v>
      </c>
      <c r="G38" s="20" t="n">
        <f aca="false">F38*Ipotesi!$C$50</f>
        <v>9.33967868133362</v>
      </c>
      <c r="H38" s="20" t="n">
        <f aca="false">G38*Ipotesi!$C$51</f>
        <v>5.60380720880017</v>
      </c>
      <c r="I38" s="20" t="n">
        <f aca="false">IF(A38&lt;=12,Ipotesi!$B$42,Ipotesi!$B$43)</f>
        <v>10.0418410041841</v>
      </c>
      <c r="J38" s="20" t="n">
        <f aca="false">MIN(H38,I38)</f>
        <v>5.60380720880017</v>
      </c>
      <c r="K38" s="20" t="n">
        <f aca="false">H38-J38</f>
        <v>0</v>
      </c>
      <c r="L38" s="18" t="n">
        <f aca="false">J38*Ipotesi!$B$37</f>
        <v>11403.7476699084</v>
      </c>
      <c r="M38" s="18" t="n">
        <f aca="false">(G38-J38)*Ipotesi!$B$19</f>
        <v>373.587147253345</v>
      </c>
      <c r="N38" s="18" t="n">
        <f aca="false">IF(A38&gt;=Ipotesi!$B$26,Ipotesi!$C$52*Ipotesi!$B$25/12,0)</f>
        <v>500</v>
      </c>
      <c r="O38" s="18" t="n">
        <f aca="false">IF(A38&gt;=Ipotesi!$B$27,Ipotesi!$C$53,0)</f>
        <v>500</v>
      </c>
      <c r="P38" s="18" t="n">
        <f aca="false">SUM(L38:O38)</f>
        <v>12777.3348171617</v>
      </c>
      <c r="Q38" s="18" t="n">
        <f aca="false">IF(A38=1,Ipotesi!$B$10+Ipotesi!$B$11,0)+Ipotesi!$B$8*Ipotesi!$B$9+Ipotesi!$B$12+Ipotesi!$B$13+Ipotesi!$B$16*52/12*Ipotesi!$B$17</f>
        <v>620</v>
      </c>
      <c r="R38" s="18" t="n">
        <f aca="false">Ipotesi!$B$14*52/12*Ipotesi!$B$15</f>
        <v>1040</v>
      </c>
      <c r="S38" s="18" t="n">
        <f aca="false">J38*IF(A38&lt;=12,Ipotesi!$B$38,Ipotesi!$B$39)*Ipotesi!$B$22</f>
        <v>3013.44732653229</v>
      </c>
      <c r="T38" s="18" t="n">
        <f aca="false">P38-Q38-R38-S38</f>
        <v>8103.88749062941</v>
      </c>
      <c r="U38" s="18" t="n">
        <f aca="false">U37+T38</f>
        <v>220286.816797364</v>
      </c>
      <c r="V38" s="18" t="n">
        <f aca="false">L38*Ipotesi!$B$20+IF(A38&gt;Ipotesi!$B$21,INDEX($L$5:$L$40,A38-Ipotesi!$B$21)*(1-Ipotesi!$B$20),0)+M38+N38+O38</f>
        <v>13959.6937415457</v>
      </c>
      <c r="W38" s="18" t="n">
        <f aca="false">V38-Q38-S38</f>
        <v>10326.2464150134</v>
      </c>
      <c r="X38" s="18" t="n">
        <f aca="false">X37+W38</f>
        <v>209560.525834567</v>
      </c>
      <c r="Y38" s="45" t="n">
        <f aca="false">IF(U38&gt;=0,A38,999)</f>
        <v>34</v>
      </c>
      <c r="Z38" s="20" t="n">
        <f aca="false">F38*SUMPRODUCT((Social!$C$6:$C$11&lt;=A38)*Social!$B$6:$B$11*Social!$I$6:$I$11)</f>
        <v>7.00475901100022</v>
      </c>
      <c r="AA38" s="20" t="n">
        <f aca="false">Z38*Ipotesi!$C$50</f>
        <v>2.80190360440009</v>
      </c>
      <c r="AB38" s="20" t="n">
        <f aca="false">AA38*Ipotesi!$C$51</f>
        <v>1.68114216264005</v>
      </c>
      <c r="AC38" s="20" t="n">
        <f aca="false">MIN(AB38,MAX(0,I38-J38))</f>
        <v>1.68114216264005</v>
      </c>
      <c r="AD38" s="18" t="n">
        <f aca="false">AC38*Ipotesi!$B$37+(AA38-AC38)*Ipotesi!$B$19</f>
        <v>3533.20044514851</v>
      </c>
      <c r="AE38" s="18" t="n">
        <f aca="false">SUMPRODUCT((Social!$C$6:$C$11&lt;=A38)*Social!$J$6:$J$11)</f>
        <v>920</v>
      </c>
      <c r="AF38" s="18" t="n">
        <f aca="false">SUMPRODUCT((Social!$C$6:$C$11&lt;=A38)*Social!$K$6:$K$11)</f>
        <v>433.333333333333</v>
      </c>
      <c r="AG38" s="18" t="n">
        <f aca="false">AC38*IF(A38&lt;=12,Ipotesi!$B$38,Ipotesi!$B$39)*Ipotesi!$B$22</f>
        <v>904.034197959688</v>
      </c>
      <c r="AH38" s="18" t="n">
        <f aca="false">AD38-AE38-AF38-AG38</f>
        <v>1275.83291385549</v>
      </c>
      <c r="AI38" s="18" t="n">
        <f aca="false">AI37+AH38</f>
        <v>32094.806419791</v>
      </c>
      <c r="AJ38" s="18" t="n">
        <f aca="false">U38+AI38</f>
        <v>252381.623217155</v>
      </c>
      <c r="AK38" s="18" t="n">
        <f aca="false">AC38*Ipotesi!$B$37*Ipotesi!$B$20+IF(A38&gt;Ipotesi!$B$21,INDEX($AC$5:$AC$40,A38-Ipotesi!$B$21)*Ipotesi!$B$37*(1-Ipotesi!$B$20),0)+(AA38-AC38)*Ipotesi!$B$19</f>
        <v>3887.90812246371</v>
      </c>
      <c r="AL38" s="18" t="n">
        <f aca="false">X38+SUM($AK$5:AK38)-SUM($AE$5:AE38)-SUM($AG$5:AG38)</f>
        <v>243233.700078395</v>
      </c>
      <c r="AM38" s="45" t="n">
        <f aca="false">IF(AJ38&gt;=0,A38,999)</f>
        <v>34</v>
      </c>
    </row>
    <row r="39" customFormat="false" ht="15" hidden="false" customHeight="false" outlineLevel="0" collapsed="false">
      <c r="A39" s="25" t="n">
        <v>35</v>
      </c>
      <c r="B39" s="45" t="n">
        <f aca="false">INT((A39-1)/12)+1</f>
        <v>3</v>
      </c>
      <c r="C39" s="45" t="n">
        <f aca="false">MOD(Ipotesi!$B$7-1+A39-1,12)+1</f>
        <v>9</v>
      </c>
      <c r="D39" s="46" t="n">
        <f aca="false">INDEX(Ipotesi!$B$58:$B$69,C39)</f>
        <v>1.1</v>
      </c>
      <c r="E39" s="45" t="n">
        <f aca="false">Ipotesi!$C$47*MIN(1,(A39/Ipotesi!$B$18)^2)*(1+Ipotesi!$C$48)^(MAX(0,A39-12)/12)*D39</f>
        <v>12578.3209078872</v>
      </c>
      <c r="F39" s="20" t="n">
        <f aca="false">E39*Ipotesi!$C$49</f>
        <v>37.7349627236615</v>
      </c>
      <c r="G39" s="20" t="n">
        <f aca="false">F39*Ipotesi!$C$50</f>
        <v>15.0939850894646</v>
      </c>
      <c r="H39" s="20" t="n">
        <f aca="false">G39*Ipotesi!$C$51</f>
        <v>9.05639105367876</v>
      </c>
      <c r="I39" s="20" t="n">
        <f aca="false">IF(A39&lt;=12,Ipotesi!$B$42,Ipotesi!$B$43)</f>
        <v>10.0418410041841</v>
      </c>
      <c r="J39" s="20" t="n">
        <f aca="false">MIN(H39,I39)</f>
        <v>9.05639105367876</v>
      </c>
      <c r="K39" s="20" t="n">
        <f aca="false">H39-J39</f>
        <v>0</v>
      </c>
      <c r="L39" s="18" t="n">
        <f aca="false">J39*Ipotesi!$B$37</f>
        <v>18429.7557942363</v>
      </c>
      <c r="M39" s="18" t="n">
        <f aca="false">(G39-J39)*Ipotesi!$B$19</f>
        <v>603.759403578584</v>
      </c>
      <c r="N39" s="18" t="n">
        <f aca="false">IF(A39&gt;=Ipotesi!$B$26,Ipotesi!$C$52*Ipotesi!$B$25/12,0)</f>
        <v>500</v>
      </c>
      <c r="O39" s="18" t="n">
        <f aca="false">IF(A39&gt;=Ipotesi!$B$27,Ipotesi!$C$53,0)</f>
        <v>500</v>
      </c>
      <c r="P39" s="18" t="n">
        <f aca="false">SUM(L39:O39)</f>
        <v>20033.5151978149</v>
      </c>
      <c r="Q39" s="18" t="n">
        <f aca="false">IF(A39=1,Ipotesi!$B$10+Ipotesi!$B$11,0)+Ipotesi!$B$8*Ipotesi!$B$9+Ipotesi!$B$12+Ipotesi!$B$13+Ipotesi!$B$16*52/12*Ipotesi!$B$17</f>
        <v>620</v>
      </c>
      <c r="R39" s="18" t="n">
        <f aca="false">Ipotesi!$B$14*52/12*Ipotesi!$B$15</f>
        <v>1040</v>
      </c>
      <c r="S39" s="18" t="n">
        <f aca="false">J39*IF(A39&lt;=12,Ipotesi!$B$38,Ipotesi!$B$39)*Ipotesi!$B$22</f>
        <v>4870.07428911576</v>
      </c>
      <c r="T39" s="18" t="n">
        <f aca="false">P39-Q39-R39-S39</f>
        <v>13503.4409086991</v>
      </c>
      <c r="U39" s="18" t="n">
        <f aca="false">U38+T39</f>
        <v>233790.257706064</v>
      </c>
      <c r="V39" s="18" t="n">
        <f aca="false">L39*Ipotesi!$B$20+IF(A39&gt;Ipotesi!$B$21,INDEX($L$5:$L$40,A39-Ipotesi!$B$21)*(1-Ipotesi!$B$20),0)+M39+N39+O39</f>
        <v>18606.6305622499</v>
      </c>
      <c r="W39" s="18" t="n">
        <f aca="false">V39-Q39-S39</f>
        <v>13116.5562731341</v>
      </c>
      <c r="X39" s="18" t="n">
        <f aca="false">X38+W39</f>
        <v>222677.082107701</v>
      </c>
      <c r="Y39" s="45" t="n">
        <f aca="false">IF(U39&gt;=0,A39,999)</f>
        <v>35</v>
      </c>
      <c r="Z39" s="20" t="n">
        <f aca="false">F39*SUMPRODUCT((Social!$C$6:$C$11&lt;=A39)*Social!$B$6:$B$11*Social!$I$6:$I$11)</f>
        <v>11.3204888170985</v>
      </c>
      <c r="AA39" s="20" t="n">
        <f aca="false">Z39*Ipotesi!$C$50</f>
        <v>4.52819552683938</v>
      </c>
      <c r="AB39" s="20" t="n">
        <f aca="false">AA39*Ipotesi!$C$51</f>
        <v>2.71691731610363</v>
      </c>
      <c r="AC39" s="20" t="n">
        <f aca="false">MIN(AB39,MAX(0,I39-J39))</f>
        <v>0.985449950505338</v>
      </c>
      <c r="AD39" s="18" t="n">
        <f aca="false">AC39*Ipotesi!$B$37+(AA39-AC39)*Ipotesi!$B$19</f>
        <v>2359.66520691177</v>
      </c>
      <c r="AE39" s="18" t="n">
        <f aca="false">SUMPRODUCT((Social!$C$6:$C$11&lt;=A39)*Social!$J$6:$J$11)</f>
        <v>920</v>
      </c>
      <c r="AF39" s="18" t="n">
        <f aca="false">SUMPRODUCT((Social!$C$6:$C$11&lt;=A39)*Social!$K$6:$K$11)</f>
        <v>433.333333333333</v>
      </c>
      <c r="AG39" s="18" t="n">
        <f aca="false">AC39*IF(A39&lt;=12,Ipotesi!$B$38,Ipotesi!$B$39)*Ipotesi!$B$22</f>
        <v>529.925710884245</v>
      </c>
      <c r="AH39" s="18" t="n">
        <f aca="false">AD39-AE39-AF39-AG39</f>
        <v>476.406162694188</v>
      </c>
      <c r="AI39" s="18" t="n">
        <f aca="false">AI38+AH39</f>
        <v>32571.2125824852</v>
      </c>
      <c r="AJ39" s="18" t="n">
        <f aca="false">U39+AI39</f>
        <v>266361.470288549</v>
      </c>
      <c r="AK39" s="18" t="n">
        <f aca="false">AC39*Ipotesi!$B$37*Ipotesi!$B$20+IF(A39&gt;Ipotesi!$B$21,INDEX($AC$5:$AC$40,A39-Ipotesi!$B$21)*Ipotesi!$B$37*(1-Ipotesi!$B$20),0)+(AA39-AC39)*Ipotesi!$B$19</f>
        <v>3693.36786073854</v>
      </c>
      <c r="AL39" s="18" t="n">
        <f aca="false">X39+SUM($AK$5:AK39)-SUM($AE$5:AE39)-SUM($AG$5:AG39)</f>
        <v>258593.698501384</v>
      </c>
      <c r="AM39" s="45" t="n">
        <f aca="false">IF(AJ39&gt;=0,A39,999)</f>
        <v>35</v>
      </c>
    </row>
    <row r="40" customFormat="false" ht="15" hidden="false" customHeight="false" outlineLevel="0" collapsed="false">
      <c r="A40" s="25" t="n">
        <v>36</v>
      </c>
      <c r="B40" s="45" t="n">
        <f aca="false">INT((A40-1)/12)+1</f>
        <v>3</v>
      </c>
      <c r="C40" s="45" t="n">
        <f aca="false">MOD(Ipotesi!$B$7-1+A40-1,12)+1</f>
        <v>10</v>
      </c>
      <c r="D40" s="46" t="n">
        <f aca="false">INDEX(Ipotesi!$B$58:$B$69,C40)</f>
        <v>1.1</v>
      </c>
      <c r="E40" s="45" t="n">
        <f aca="false">Ipotesi!$C$47*MIN(1,(A40/Ipotesi!$B$18)^2)*(1+Ipotesi!$C$48)^(MAX(0,A40-12)/12)*D40</f>
        <v>12936</v>
      </c>
      <c r="F40" s="20" t="n">
        <f aca="false">E40*Ipotesi!$C$49</f>
        <v>38.808</v>
      </c>
      <c r="G40" s="20" t="n">
        <f aca="false">F40*Ipotesi!$C$50</f>
        <v>15.5232</v>
      </c>
      <c r="H40" s="20" t="n">
        <f aca="false">G40*Ipotesi!$C$51</f>
        <v>9.31392</v>
      </c>
      <c r="I40" s="20" t="n">
        <f aca="false">IF(A40&lt;=12,Ipotesi!$B$42,Ipotesi!$B$43)</f>
        <v>10.0418410041841</v>
      </c>
      <c r="J40" s="20" t="n">
        <f aca="false">MIN(H40,I40)</f>
        <v>9.31392</v>
      </c>
      <c r="K40" s="20" t="n">
        <f aca="false">H40-J40</f>
        <v>0</v>
      </c>
      <c r="L40" s="18" t="n">
        <f aca="false">J40*Ipotesi!$B$37</f>
        <v>18953.8272</v>
      </c>
      <c r="M40" s="18" t="n">
        <f aca="false">(G40-J40)*Ipotesi!$B$19</f>
        <v>620.928</v>
      </c>
      <c r="N40" s="18" t="n">
        <f aca="false">IF(A40&gt;=Ipotesi!$B$26,Ipotesi!$C$52*Ipotesi!$B$25/12,0)</f>
        <v>500</v>
      </c>
      <c r="O40" s="18" t="n">
        <f aca="false">IF(A40&gt;=Ipotesi!$B$27,Ipotesi!$C$53,0)</f>
        <v>500</v>
      </c>
      <c r="P40" s="18" t="n">
        <f aca="false">SUM(L40:O40)</f>
        <v>20574.7552</v>
      </c>
      <c r="Q40" s="18" t="n">
        <f aca="false">IF(A40=1,Ipotesi!$B$10+Ipotesi!$B$11,0)+Ipotesi!$B$8*Ipotesi!$B$9+Ipotesi!$B$12+Ipotesi!$B$13+Ipotesi!$B$16*52/12*Ipotesi!$B$17</f>
        <v>620</v>
      </c>
      <c r="R40" s="18" t="n">
        <f aca="false">Ipotesi!$B$14*52/12*Ipotesi!$B$15</f>
        <v>1040</v>
      </c>
      <c r="S40" s="18" t="n">
        <f aca="false">J40*IF(A40&lt;=12,Ipotesi!$B$38,Ipotesi!$B$39)*Ipotesi!$B$22</f>
        <v>5008.56048</v>
      </c>
      <c r="T40" s="18" t="n">
        <f aca="false">P40-Q40-R40-S40</f>
        <v>13906.19472</v>
      </c>
      <c r="U40" s="18" t="n">
        <f aca="false">U39+T40</f>
        <v>247696.452426064</v>
      </c>
      <c r="V40" s="18" t="n">
        <f aca="false">L40*Ipotesi!$B$20+IF(A40&gt;Ipotesi!$B$21,INDEX($L$5:$L$40,A40-Ipotesi!$B$21)*(1-Ipotesi!$B$20),0)+M40+N40+O40</f>
        <v>19835.4276189831</v>
      </c>
      <c r="W40" s="18" t="n">
        <f aca="false">V40-Q40-S40</f>
        <v>14206.8671389831</v>
      </c>
      <c r="X40" s="18" t="n">
        <f aca="false">X39+W40</f>
        <v>236883.949246684</v>
      </c>
      <c r="Y40" s="45" t="n">
        <f aca="false">IF(U40&gt;=0,A40,999)</f>
        <v>36</v>
      </c>
      <c r="Z40" s="20" t="n">
        <f aca="false">F40*SUMPRODUCT((Social!$C$6:$C$11&lt;=A40)*Social!$B$6:$B$11*Social!$I$6:$I$11)</f>
        <v>11.6424</v>
      </c>
      <c r="AA40" s="20" t="n">
        <f aca="false">Z40*Ipotesi!$C$50</f>
        <v>4.65696</v>
      </c>
      <c r="AB40" s="20" t="n">
        <f aca="false">AA40*Ipotesi!$C$51</f>
        <v>2.794176</v>
      </c>
      <c r="AC40" s="20" t="n">
        <f aca="false">MIN(AB40,MAX(0,I40-J40))</f>
        <v>0.727921004184104</v>
      </c>
      <c r="AD40" s="18" t="n">
        <f aca="false">AC40*Ipotesi!$B$37+(AA40-AC40)*Ipotesi!$B$19</f>
        <v>1874.22314309624</v>
      </c>
      <c r="AE40" s="18" t="n">
        <f aca="false">SUMPRODUCT((Social!$C$6:$C$11&lt;=A40)*Social!$J$6:$J$11)</f>
        <v>920</v>
      </c>
      <c r="AF40" s="18" t="n">
        <f aca="false">SUMPRODUCT((Social!$C$6:$C$11&lt;=A40)*Social!$K$6:$K$11)</f>
        <v>433.333333333333</v>
      </c>
      <c r="AG40" s="18" t="n">
        <f aca="false">AC40*IF(A40&lt;=12,Ipotesi!$B$38,Ipotesi!$B$39)*Ipotesi!$B$22</f>
        <v>391.439520000002</v>
      </c>
      <c r="AH40" s="18" t="n">
        <f aca="false">AD40-AE40-AF40-AG40</f>
        <v>129.450289762906</v>
      </c>
      <c r="AI40" s="18" t="n">
        <f aca="false">AI39+AH40</f>
        <v>32700.6628722481</v>
      </c>
      <c r="AJ40" s="18" t="n">
        <f aca="false">U40+AI40</f>
        <v>280397.115298312</v>
      </c>
      <c r="AK40" s="18" t="n">
        <f aca="false">AC40*Ipotesi!$B$37*Ipotesi!$B$20+IF(A40&gt;Ipotesi!$B$21,INDEX($AC$5:$AC$40,A40-Ipotesi!$B$21)*Ipotesi!$B$37*(1-Ipotesi!$B$20),0)+(AA40-AC40)*Ipotesi!$B$19</f>
        <v>2613.5507241131</v>
      </c>
      <c r="AL40" s="18" t="n">
        <f aca="false">X40+SUM($AK$5:AK40)-SUM($AE$5:AE40)-SUM($AG$5:AG40)</f>
        <v>274102.67684448</v>
      </c>
      <c r="AM40" s="45" t="n">
        <f aca="false">IF(AJ40&gt;=0,A40,999)</f>
        <v>36</v>
      </c>
    </row>
    <row r="41" customFormat="false" ht="15" hidden="false" customHeight="false" outlineLevel="0" collapsed="false">
      <c r="A41" s="33" t="s">
        <v>306</v>
      </c>
      <c r="B41" s="42"/>
      <c r="C41" s="42"/>
      <c r="D41" s="42"/>
      <c r="E41" s="47" t="n">
        <f aca="false">SUM(E5:E40)</f>
        <v>261281.284902634</v>
      </c>
      <c r="F41" s="36" t="n">
        <f aca="false">SUM(F5:F40)</f>
        <v>783.843854707901</v>
      </c>
      <c r="G41" s="36" t="n">
        <f aca="false">SUM(G5:G40)</f>
        <v>313.53754188316</v>
      </c>
      <c r="H41" s="36" t="n">
        <f aca="false">SUM(H5:H40)</f>
        <v>188.122525129896</v>
      </c>
      <c r="I41" s="42"/>
      <c r="J41" s="36" t="n">
        <f aca="false">SUM(J5:J40)</f>
        <v>188.122525129896</v>
      </c>
      <c r="K41" s="36" t="n">
        <f aca="false">SUM(K5:K40)</f>
        <v>0</v>
      </c>
      <c r="L41" s="35" t="n">
        <f aca="false">SUM(L5:L40)</f>
        <v>382829.338639339</v>
      </c>
      <c r="M41" s="35" t="n">
        <f aca="false">SUM(M5:M40)</f>
        <v>12541.5016753264</v>
      </c>
      <c r="N41" s="35" t="n">
        <f aca="false">SUM(N5:N40)</f>
        <v>12000</v>
      </c>
      <c r="O41" s="35" t="n">
        <f aca="false">SUM(O5:O40)</f>
        <v>6000</v>
      </c>
      <c r="P41" s="35" t="n">
        <f aca="false">SUM(P5:P40)</f>
        <v>413370.840314665</v>
      </c>
      <c r="Q41" s="35" t="n">
        <f aca="false">SUM(Q5:Q40)</f>
        <v>24520</v>
      </c>
      <c r="R41" s="35" t="n">
        <f aca="false">SUM(R5:R40)</f>
        <v>37440</v>
      </c>
      <c r="S41" s="35" t="n">
        <f aca="false">SUM(S5:S40)</f>
        <v>103714.387888602</v>
      </c>
      <c r="T41" s="35" t="n">
        <f aca="false">SUM(T5:T40)</f>
        <v>247696.452426064</v>
      </c>
      <c r="U41" s="42"/>
      <c r="V41" s="35" t="n">
        <f aca="false">SUM(V5:V40)</f>
        <v>365118.337135286</v>
      </c>
      <c r="W41" s="35" t="n">
        <f aca="false">SUM(W5:W40)</f>
        <v>236883.949246684</v>
      </c>
      <c r="X41" s="42"/>
      <c r="Y41" s="42"/>
      <c r="Z41" s="36" t="n">
        <f aca="false">SUM(Z5:Z40)</f>
        <v>234.84565641237</v>
      </c>
      <c r="AA41" s="36" t="n">
        <f aca="false">SUM(AA5:AA40)</f>
        <v>93.9382625649481</v>
      </c>
      <c r="AB41" s="36" t="n">
        <f aca="false">SUM(AB5:AB40)</f>
        <v>56.3629575389689</v>
      </c>
      <c r="AC41" s="36" t="n">
        <f aca="false">SUM(AC5:AC40)</f>
        <v>50.8837395711242</v>
      </c>
      <c r="AD41" s="35" t="n">
        <f aca="false">SUM(AD5:AD40)</f>
        <v>107853.86232662</v>
      </c>
      <c r="AE41" s="35" t="n">
        <f aca="false">SUM(AE5:AE40)</f>
        <v>32470</v>
      </c>
      <c r="AF41" s="35" t="n">
        <f aca="false">SUM(AF5:AF40)</f>
        <v>14560</v>
      </c>
      <c r="AG41" s="35" t="n">
        <f aca="false">SUM(AG5:AG40)</f>
        <v>28123.199454372</v>
      </c>
      <c r="AH41" s="35" t="n">
        <f aca="false">SUM(AH5:AH40)</f>
        <v>32700.6628722481</v>
      </c>
      <c r="AI41" s="42"/>
      <c r="AJ41" s="42"/>
      <c r="AK41" s="35" t="n">
        <f aca="false">SUM(AK5:AK40)</f>
        <v>97811.9270521676</v>
      </c>
      <c r="AL41" s="42"/>
      <c r="AM41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5" min="13" style="0" width="13"/>
    <col collapsed="false" customWidth="true" hidden="false" outlineLevel="0" max="18" min="16" style="0" width="14"/>
    <col collapsed="false" customWidth="true" hidden="false" outlineLevel="0" max="19" min="19" style="0" width="15"/>
    <col collapsed="false" customWidth="true" hidden="false" outlineLevel="0" max="21" min="20" style="0" width="14"/>
    <col collapsed="false" customWidth="true" hidden="false" outlineLevel="0" max="23" min="22" style="0" width="13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9" min="26" style="0" width="12"/>
    <col collapsed="false" customWidth="true" hidden="false" outlineLevel="0" max="30" min="30" style="0" width="14"/>
    <col collapsed="false" customWidth="true" hidden="false" outlineLevel="0" max="32" min="31" style="0" width="13"/>
    <col collapsed="false" customWidth="true" hidden="false" outlineLevel="0" max="35" min="33" style="0" width="14"/>
    <col collapsed="false" customWidth="true" hidden="false" outlineLevel="0" max="36" min="36" style="0" width="15"/>
    <col collapsed="false" customWidth="true" hidden="false" outlineLevel="0" max="37" min="37" style="0" width="14"/>
    <col collapsed="false" customWidth="true" hidden="false" outlineLevel="0" max="38" min="38" style="0" width="15"/>
    <col collapsed="false" customWidth="true" hidden="false" outlineLevel="0" max="39" min="39" style="0" width="11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278</v>
      </c>
    </row>
    <row r="4" customFormat="false" ht="42" hidden="false" customHeight="true" outlineLevel="0" collapsed="false">
      <c r="A4" s="10" t="s">
        <v>104</v>
      </c>
      <c r="B4" s="10" t="s">
        <v>279</v>
      </c>
      <c r="C4" s="10" t="s">
        <v>280</v>
      </c>
      <c r="D4" s="10" t="s">
        <v>281</v>
      </c>
      <c r="E4" s="10" t="s">
        <v>74</v>
      </c>
      <c r="F4" s="10" t="s">
        <v>75</v>
      </c>
      <c r="G4" s="10" t="s">
        <v>76</v>
      </c>
      <c r="H4" s="10" t="s">
        <v>282</v>
      </c>
      <c r="I4" s="10" t="s">
        <v>283</v>
      </c>
      <c r="J4" s="10" t="s">
        <v>49</v>
      </c>
      <c r="K4" s="10" t="s">
        <v>77</v>
      </c>
      <c r="L4" s="10" t="s">
        <v>284</v>
      </c>
      <c r="M4" s="10" t="s">
        <v>285</v>
      </c>
      <c r="N4" s="10" t="s">
        <v>286</v>
      </c>
      <c r="O4" s="10" t="s">
        <v>287</v>
      </c>
      <c r="P4" s="10" t="s">
        <v>78</v>
      </c>
      <c r="Q4" s="10" t="s">
        <v>79</v>
      </c>
      <c r="R4" s="10" t="s">
        <v>288</v>
      </c>
      <c r="S4" s="10" t="s">
        <v>81</v>
      </c>
      <c r="T4" s="10" t="s">
        <v>82</v>
      </c>
      <c r="U4" s="10" t="s">
        <v>289</v>
      </c>
      <c r="V4" s="10" t="s">
        <v>83</v>
      </c>
      <c r="W4" s="10" t="s">
        <v>84</v>
      </c>
      <c r="X4" s="10" t="s">
        <v>290</v>
      </c>
      <c r="Y4" s="44" t="s">
        <v>291</v>
      </c>
      <c r="Z4" s="10" t="s">
        <v>292</v>
      </c>
      <c r="AA4" s="10" t="s">
        <v>293</v>
      </c>
      <c r="AB4" s="10" t="s">
        <v>294</v>
      </c>
      <c r="AC4" s="10" t="s">
        <v>295</v>
      </c>
      <c r="AD4" s="10" t="s">
        <v>296</v>
      </c>
      <c r="AE4" s="10" t="s">
        <v>297</v>
      </c>
      <c r="AF4" s="10" t="s">
        <v>298</v>
      </c>
      <c r="AG4" s="10" t="s">
        <v>299</v>
      </c>
      <c r="AH4" s="10" t="s">
        <v>300</v>
      </c>
      <c r="AI4" s="10" t="s">
        <v>301</v>
      </c>
      <c r="AJ4" s="10" t="s">
        <v>302</v>
      </c>
      <c r="AK4" s="10" t="s">
        <v>303</v>
      </c>
      <c r="AL4" s="10" t="s">
        <v>304</v>
      </c>
      <c r="AM4" s="44" t="s">
        <v>305</v>
      </c>
    </row>
    <row r="5" customFormat="false" ht="15" hidden="false" customHeight="false" outlineLevel="0" collapsed="false">
      <c r="A5" s="25" t="n">
        <v>1</v>
      </c>
      <c r="B5" s="45" t="n">
        <f aca="false">INT((A5-1)/12)+1</f>
        <v>1</v>
      </c>
      <c r="C5" s="45" t="n">
        <f aca="false">MOD(Ipotesi!$B$7-1+A5-1,12)+1</f>
        <v>11</v>
      </c>
      <c r="D5" s="46" t="n">
        <f aca="false">INDEX(Ipotesi!$B$58:$B$69,C5)</f>
        <v>1</v>
      </c>
      <c r="E5" s="45" t="n">
        <f aca="false">Ipotesi!$D$47*MIN(1,(A5/Ipotesi!$B$18)^2)*(1+Ipotesi!$D$48)^(MAX(0,A5-12)/12)*D5</f>
        <v>416.666666666667</v>
      </c>
      <c r="F5" s="20" t="n">
        <f aca="false">E5*Ipotesi!$D$49</f>
        <v>1.45833333333333</v>
      </c>
      <c r="G5" s="20" t="n">
        <f aca="false">F5*Ipotesi!$D$50</f>
        <v>0.65625</v>
      </c>
      <c r="H5" s="20" t="n">
        <f aca="false">G5*Ipotesi!$D$51</f>
        <v>0.39375</v>
      </c>
      <c r="I5" s="20" t="n">
        <f aca="false">IF(A5&lt;=12,Ipotesi!$B$42,Ipotesi!$B$43)</f>
        <v>8.92193308550186</v>
      </c>
      <c r="J5" s="20" t="n">
        <f aca="false">MIN(H5,I5)</f>
        <v>0.39375</v>
      </c>
      <c r="K5" s="20" t="n">
        <f aca="false">H5-J5</f>
        <v>0</v>
      </c>
      <c r="L5" s="18" t="n">
        <f aca="false">J5*Ipotesi!$B$37</f>
        <v>801.28125</v>
      </c>
      <c r="M5" s="18" t="n">
        <f aca="false">(G5-J5)*Ipotesi!$B$19</f>
        <v>26.25</v>
      </c>
      <c r="N5" s="18" t="n">
        <f aca="false">IF(A5&gt;=Ipotesi!$B$26,Ipotesi!$D$52*Ipotesi!$B$25/12,0)</f>
        <v>0</v>
      </c>
      <c r="O5" s="18" t="n">
        <f aca="false">IF(A5&gt;=Ipotesi!$B$27,Ipotesi!$D$53,0)</f>
        <v>0</v>
      </c>
      <c r="P5" s="18" t="n">
        <f aca="false">SUM(L5:O5)</f>
        <v>827.53125</v>
      </c>
      <c r="Q5" s="18" t="n">
        <f aca="false">IF(A5=1,Ipotesi!$B$10+Ipotesi!$B$11,0)+Ipotesi!$B$8*Ipotesi!$B$9+Ipotesi!$B$12+Ipotesi!$B$13+Ipotesi!$B$16*52/12*Ipotesi!$B$17</f>
        <v>2820</v>
      </c>
      <c r="R5" s="18" t="n">
        <f aca="false">Ipotesi!$B$14*52/12*Ipotesi!$B$15</f>
        <v>1040</v>
      </c>
      <c r="S5" s="18" t="n">
        <f aca="false">J5*IF(A5&lt;=12,Ipotesi!$B$38,Ipotesi!$B$39)*Ipotesi!$B$22</f>
        <v>238.3171875</v>
      </c>
      <c r="T5" s="18" t="n">
        <f aca="false">P5-Q5-R5-S5</f>
        <v>-3270.7859375</v>
      </c>
      <c r="U5" s="18" t="n">
        <f aca="false">T5</f>
        <v>-3270.7859375</v>
      </c>
      <c r="V5" s="18" t="n">
        <f aca="false">L5*Ipotesi!$B$20+IF(A5&gt;Ipotesi!$B$21,INDEX($L$5:$L$40,A5-Ipotesi!$B$21)*(1-Ipotesi!$B$20),0)+M5+N5+O5</f>
        <v>426.890625</v>
      </c>
      <c r="W5" s="18" t="n">
        <f aca="false">V5-Q5-S5</f>
        <v>-2631.4265625</v>
      </c>
      <c r="X5" s="18" t="n">
        <f aca="false">W5</f>
        <v>-2631.4265625</v>
      </c>
      <c r="Y5" s="45" t="n">
        <f aca="false">IF(U5&gt;=0,A5,999)</f>
        <v>999</v>
      </c>
      <c r="Z5" s="20" t="n">
        <f aca="false">F5*SUMPRODUCT((Social!$C$6:$C$11&lt;=A5)*Social!$B$6:$B$11*Social!$I$6:$I$11)</f>
        <v>0.364583333333333</v>
      </c>
      <c r="AA5" s="20" t="n">
        <f aca="false">Z5*Ipotesi!$D$50</f>
        <v>0.1640625</v>
      </c>
      <c r="AB5" s="20" t="n">
        <f aca="false">AA5*Ipotesi!$D$51</f>
        <v>0.0984375</v>
      </c>
      <c r="AC5" s="20" t="n">
        <f aca="false">MIN(AB5,MAX(0,I5-J5))</f>
        <v>0.0984375</v>
      </c>
      <c r="AD5" s="18" t="n">
        <f aca="false">AC5*Ipotesi!$B$37+(AA5-AC5)*Ipotesi!$B$19</f>
        <v>206.8828125</v>
      </c>
      <c r="AE5" s="18" t="n">
        <f aca="false">SUMPRODUCT((Social!$C$6:$C$11&lt;=A5)*Social!$J$6:$J$11)</f>
        <v>703.333333333333</v>
      </c>
      <c r="AF5" s="18" t="n">
        <f aca="false">SUMPRODUCT((Social!$C$6:$C$11&lt;=A5)*Social!$K$6:$K$11)</f>
        <v>86.6666666666667</v>
      </c>
      <c r="AG5" s="18" t="n">
        <f aca="false">AC5*IF(A5&lt;=12,Ipotesi!$B$38,Ipotesi!$B$39)*Ipotesi!$B$22</f>
        <v>59.579296875</v>
      </c>
      <c r="AH5" s="18" t="n">
        <f aca="false">AD5-AE5-AF5-AG5</f>
        <v>-642.696484375</v>
      </c>
      <c r="AI5" s="18" t="n">
        <f aca="false">AH5</f>
        <v>-642.696484375</v>
      </c>
      <c r="AJ5" s="18" t="n">
        <f aca="false">U5+AI5</f>
        <v>-3913.482421875</v>
      </c>
      <c r="AK5" s="18" t="n">
        <f aca="false">AC5*Ipotesi!$B$37*Ipotesi!$B$20+IF(A5&gt;Ipotesi!$B$21,INDEX($AC$5:$AC$40,A5-Ipotesi!$B$21)*Ipotesi!$B$37*(1-Ipotesi!$B$20),0)+(AA5-AC5)*Ipotesi!$B$19</f>
        <v>106.72265625</v>
      </c>
      <c r="AL5" s="18" t="n">
        <f aca="false">X5+SUM($AK$5:AK5)-SUM($AE$5:AE5)-SUM($AG$5:AG5)</f>
        <v>-3287.61653645833</v>
      </c>
      <c r="AM5" s="45" t="n">
        <f aca="false">IF(AJ5&gt;=0,A5,999)</f>
        <v>999</v>
      </c>
    </row>
    <row r="6" customFormat="false" ht="15" hidden="false" customHeight="false" outlineLevel="0" collapsed="false">
      <c r="A6" s="25" t="n">
        <v>2</v>
      </c>
      <c r="B6" s="45" t="n">
        <f aca="false">INT((A6-1)/12)+1</f>
        <v>1</v>
      </c>
      <c r="C6" s="45" t="n">
        <f aca="false">MOD(Ipotesi!$B$7-1+A6-1,12)+1</f>
        <v>12</v>
      </c>
      <c r="D6" s="46" t="n">
        <f aca="false">INDEX(Ipotesi!$B$58:$B$69,C6)</f>
        <v>0.8</v>
      </c>
      <c r="E6" s="45" t="n">
        <f aca="false">Ipotesi!$D$47*MIN(1,(A6/Ipotesi!$B$18)^2)*(1+Ipotesi!$D$48)^(MAX(0,A6-12)/12)*D6</f>
        <v>1333.33333333333</v>
      </c>
      <c r="F6" s="20" t="n">
        <f aca="false">E6*Ipotesi!$D$49</f>
        <v>4.66666666666667</v>
      </c>
      <c r="G6" s="20" t="n">
        <f aca="false">F6*Ipotesi!$D$50</f>
        <v>2.1</v>
      </c>
      <c r="H6" s="20" t="n">
        <f aca="false">G6*Ipotesi!$D$51</f>
        <v>1.26</v>
      </c>
      <c r="I6" s="20" t="n">
        <f aca="false">IF(A6&lt;=12,Ipotesi!$B$42,Ipotesi!$B$43)</f>
        <v>8.92193308550186</v>
      </c>
      <c r="J6" s="20" t="n">
        <f aca="false">MIN(H6,I6)</f>
        <v>1.26</v>
      </c>
      <c r="K6" s="20" t="n">
        <f aca="false">H6-J6</f>
        <v>0</v>
      </c>
      <c r="L6" s="18" t="n">
        <f aca="false">J6*Ipotesi!$B$37</f>
        <v>2564.1</v>
      </c>
      <c r="M6" s="18" t="n">
        <f aca="false">(G6-J6)*Ipotesi!$B$19</f>
        <v>84</v>
      </c>
      <c r="N6" s="18" t="n">
        <f aca="false">IF(A6&gt;=Ipotesi!$B$26,Ipotesi!$D$52*Ipotesi!$B$25/12,0)</f>
        <v>0</v>
      </c>
      <c r="O6" s="18" t="n">
        <f aca="false">IF(A6&gt;=Ipotesi!$B$27,Ipotesi!$D$53,0)</f>
        <v>0</v>
      </c>
      <c r="P6" s="18" t="n">
        <f aca="false">SUM(L6:O6)</f>
        <v>2648.1</v>
      </c>
      <c r="Q6" s="18" t="n">
        <f aca="false">IF(A6=1,Ipotesi!$B$10+Ipotesi!$B$11,0)+Ipotesi!$B$8*Ipotesi!$B$9+Ipotesi!$B$12+Ipotesi!$B$13+Ipotesi!$B$16*52/12*Ipotesi!$B$17</f>
        <v>620</v>
      </c>
      <c r="R6" s="18" t="n">
        <f aca="false">Ipotesi!$B$14*52/12*Ipotesi!$B$15</f>
        <v>1040</v>
      </c>
      <c r="S6" s="18" t="n">
        <f aca="false">J6*IF(A6&lt;=12,Ipotesi!$B$38,Ipotesi!$B$39)*Ipotesi!$B$22</f>
        <v>762.615</v>
      </c>
      <c r="T6" s="18" t="n">
        <f aca="false">P6-Q6-R6-S6</f>
        <v>225.485</v>
      </c>
      <c r="U6" s="18" t="n">
        <f aca="false">U5+T6</f>
        <v>-3045.3009375</v>
      </c>
      <c r="V6" s="18" t="n">
        <f aca="false">L6*Ipotesi!$B$20+IF(A6&gt;Ipotesi!$B$21,INDEX($L$5:$L$40,A6-Ipotesi!$B$21)*(1-Ipotesi!$B$20),0)+M6+N6+O6</f>
        <v>1366.05</v>
      </c>
      <c r="W6" s="18" t="n">
        <f aca="false">V6-Q6-S6</f>
        <v>-16.5650000000001</v>
      </c>
      <c r="X6" s="18" t="n">
        <f aca="false">X5+W6</f>
        <v>-2647.9915625</v>
      </c>
      <c r="Y6" s="45" t="n">
        <f aca="false">IF(U6&gt;=0,A6,999)</f>
        <v>999</v>
      </c>
      <c r="Z6" s="20" t="n">
        <f aca="false">F6*SUMPRODUCT((Social!$C$6:$C$11&lt;=A6)*Social!$B$6:$B$11*Social!$I$6:$I$11)</f>
        <v>1.16666666666667</v>
      </c>
      <c r="AA6" s="20" t="n">
        <f aca="false">Z6*Ipotesi!$D$50</f>
        <v>0.525</v>
      </c>
      <c r="AB6" s="20" t="n">
        <f aca="false">AA6*Ipotesi!$D$51</f>
        <v>0.315</v>
      </c>
      <c r="AC6" s="20" t="n">
        <f aca="false">MIN(AB6,MAX(0,I6-J6))</f>
        <v>0.315</v>
      </c>
      <c r="AD6" s="18" t="n">
        <f aca="false">AC6*Ipotesi!$B$37+(AA6-AC6)*Ipotesi!$B$19</f>
        <v>662.025</v>
      </c>
      <c r="AE6" s="18" t="n">
        <f aca="false">SUMPRODUCT((Social!$C$6:$C$11&lt;=A6)*Social!$J$6:$J$11)</f>
        <v>703.333333333333</v>
      </c>
      <c r="AF6" s="18" t="n">
        <f aca="false">SUMPRODUCT((Social!$C$6:$C$11&lt;=A6)*Social!$K$6:$K$11)</f>
        <v>86.6666666666667</v>
      </c>
      <c r="AG6" s="18" t="n">
        <f aca="false">AC6*IF(A6&lt;=12,Ipotesi!$B$38,Ipotesi!$B$39)*Ipotesi!$B$22</f>
        <v>190.65375</v>
      </c>
      <c r="AH6" s="18" t="n">
        <f aca="false">AD6-AE6-AF6-AG6</f>
        <v>-318.62875</v>
      </c>
      <c r="AI6" s="18" t="n">
        <f aca="false">AI5+AH6</f>
        <v>-961.325234375</v>
      </c>
      <c r="AJ6" s="18" t="n">
        <f aca="false">U6+AI6</f>
        <v>-4006.626171875</v>
      </c>
      <c r="AK6" s="18" t="n">
        <f aca="false">AC6*Ipotesi!$B$37*Ipotesi!$B$20+IF(A6&gt;Ipotesi!$B$21,INDEX($AC$5:$AC$40,A6-Ipotesi!$B$21)*Ipotesi!$B$37*(1-Ipotesi!$B$20),0)+(AA6-AC6)*Ipotesi!$B$19</f>
        <v>341.5125</v>
      </c>
      <c r="AL6" s="18" t="n">
        <f aca="false">X6+SUM($AK$5:AK6)-SUM($AE$5:AE6)-SUM($AG$5:AG6)</f>
        <v>-3856.65611979167</v>
      </c>
      <c r="AM6" s="45" t="n">
        <f aca="false">IF(AJ6&gt;=0,A6,999)</f>
        <v>999</v>
      </c>
    </row>
    <row r="7" customFormat="false" ht="15" hidden="false" customHeight="false" outlineLevel="0" collapsed="false">
      <c r="A7" s="25" t="n">
        <v>3</v>
      </c>
      <c r="B7" s="45" t="n">
        <f aca="false">INT((A7-1)/12)+1</f>
        <v>1</v>
      </c>
      <c r="C7" s="45" t="n">
        <f aca="false">MOD(Ipotesi!$B$7-1+A7-1,12)+1</f>
        <v>1</v>
      </c>
      <c r="D7" s="46" t="n">
        <f aca="false">INDEX(Ipotesi!$B$58:$B$69,C7)</f>
        <v>0.9</v>
      </c>
      <c r="E7" s="45" t="n">
        <f aca="false">Ipotesi!$D$47*MIN(1,(A7/Ipotesi!$B$18)^2)*(1+Ipotesi!$D$48)^(MAX(0,A7-12)/12)*D7</f>
        <v>3375</v>
      </c>
      <c r="F7" s="20" t="n">
        <f aca="false">E7*Ipotesi!$D$49</f>
        <v>11.8125</v>
      </c>
      <c r="G7" s="20" t="n">
        <f aca="false">F7*Ipotesi!$D$50</f>
        <v>5.315625</v>
      </c>
      <c r="H7" s="20" t="n">
        <f aca="false">G7*Ipotesi!$D$51</f>
        <v>3.189375</v>
      </c>
      <c r="I7" s="20" t="n">
        <f aca="false">IF(A7&lt;=12,Ipotesi!$B$42,Ipotesi!$B$43)</f>
        <v>8.92193308550186</v>
      </c>
      <c r="J7" s="20" t="n">
        <f aca="false">MIN(H7,I7)</f>
        <v>3.189375</v>
      </c>
      <c r="K7" s="20" t="n">
        <f aca="false">H7-J7</f>
        <v>0</v>
      </c>
      <c r="L7" s="18" t="n">
        <f aca="false">J7*Ipotesi!$B$37</f>
        <v>6490.378125</v>
      </c>
      <c r="M7" s="18" t="n">
        <f aca="false">(G7-J7)*Ipotesi!$B$19</f>
        <v>212.625</v>
      </c>
      <c r="N7" s="18" t="n">
        <f aca="false">IF(A7&gt;=Ipotesi!$B$26,Ipotesi!$D$52*Ipotesi!$B$25/12,0)</f>
        <v>0</v>
      </c>
      <c r="O7" s="18" t="n">
        <f aca="false">IF(A7&gt;=Ipotesi!$B$27,Ipotesi!$D$53,0)</f>
        <v>0</v>
      </c>
      <c r="P7" s="18" t="n">
        <f aca="false">SUM(L7:O7)</f>
        <v>6703.003125</v>
      </c>
      <c r="Q7" s="18" t="n">
        <f aca="false">IF(A7=1,Ipotesi!$B$10+Ipotesi!$B$11,0)+Ipotesi!$B$8*Ipotesi!$B$9+Ipotesi!$B$12+Ipotesi!$B$13+Ipotesi!$B$16*52/12*Ipotesi!$B$17</f>
        <v>620</v>
      </c>
      <c r="R7" s="18" t="n">
        <f aca="false">Ipotesi!$B$14*52/12*Ipotesi!$B$15</f>
        <v>1040</v>
      </c>
      <c r="S7" s="18" t="n">
        <f aca="false">J7*IF(A7&lt;=12,Ipotesi!$B$38,Ipotesi!$B$39)*Ipotesi!$B$22</f>
        <v>1930.36921875</v>
      </c>
      <c r="T7" s="18" t="n">
        <f aca="false">P7-Q7-R7-S7</f>
        <v>3112.63390625</v>
      </c>
      <c r="U7" s="18" t="n">
        <f aca="false">U6+T7</f>
        <v>67.3329687499991</v>
      </c>
      <c r="V7" s="18" t="n">
        <f aca="false">L7*Ipotesi!$B$20+IF(A7&gt;Ipotesi!$B$21,INDEX($L$5:$L$40,A7-Ipotesi!$B$21)*(1-Ipotesi!$B$20),0)+M7+N7+O7</f>
        <v>3457.8140625</v>
      </c>
      <c r="W7" s="18" t="n">
        <f aca="false">V7-Q7-S7</f>
        <v>907.44484375</v>
      </c>
      <c r="X7" s="18" t="n">
        <f aca="false">X6+W7</f>
        <v>-1740.54671875</v>
      </c>
      <c r="Y7" s="45" t="n">
        <f aca="false">IF(U7&gt;=0,A7,999)</f>
        <v>3</v>
      </c>
      <c r="Z7" s="20" t="n">
        <f aca="false">F7*SUMPRODUCT((Social!$C$6:$C$11&lt;=A7)*Social!$B$6:$B$11*Social!$I$6:$I$11)</f>
        <v>2.953125</v>
      </c>
      <c r="AA7" s="20" t="n">
        <f aca="false">Z7*Ipotesi!$D$50</f>
        <v>1.32890625</v>
      </c>
      <c r="AB7" s="20" t="n">
        <f aca="false">AA7*Ipotesi!$D$51</f>
        <v>0.79734375</v>
      </c>
      <c r="AC7" s="20" t="n">
        <f aca="false">MIN(AB7,MAX(0,I7-J7))</f>
        <v>0.79734375</v>
      </c>
      <c r="AD7" s="18" t="n">
        <f aca="false">AC7*Ipotesi!$B$37+(AA7-AC7)*Ipotesi!$B$19</f>
        <v>1675.75078125</v>
      </c>
      <c r="AE7" s="18" t="n">
        <f aca="false">SUMPRODUCT((Social!$C$6:$C$11&lt;=A7)*Social!$J$6:$J$11)</f>
        <v>703.333333333333</v>
      </c>
      <c r="AF7" s="18" t="n">
        <f aca="false">SUMPRODUCT((Social!$C$6:$C$11&lt;=A7)*Social!$K$6:$K$11)</f>
        <v>86.6666666666667</v>
      </c>
      <c r="AG7" s="18" t="n">
        <f aca="false">AC7*IF(A7&lt;=12,Ipotesi!$B$38,Ipotesi!$B$39)*Ipotesi!$B$22</f>
        <v>482.5923046875</v>
      </c>
      <c r="AH7" s="18" t="n">
        <f aca="false">AD7-AE7-AF7-AG7</f>
        <v>403.1584765625</v>
      </c>
      <c r="AI7" s="18" t="n">
        <f aca="false">AI6+AH7</f>
        <v>-558.1667578125</v>
      </c>
      <c r="AJ7" s="18" t="n">
        <f aca="false">U7+AI7</f>
        <v>-490.833789062501</v>
      </c>
      <c r="AK7" s="18" t="n">
        <f aca="false">AC7*Ipotesi!$B$37*Ipotesi!$B$20+IF(A7&gt;Ipotesi!$B$21,INDEX($AC$5:$AC$40,A7-Ipotesi!$B$21)*Ipotesi!$B$37*(1-Ipotesi!$B$20),0)+(AA7-AC7)*Ipotesi!$B$19</f>
        <v>864.453515625</v>
      </c>
      <c r="AL7" s="18" t="n">
        <f aca="false">X7+SUM($AK$5:AK7)-SUM($AE$5:AE7)-SUM($AG$5:AG7)</f>
        <v>-3270.6833984375</v>
      </c>
      <c r="AM7" s="45" t="n">
        <f aca="false">IF(AJ7&gt;=0,A7,999)</f>
        <v>999</v>
      </c>
    </row>
    <row r="8" customFormat="false" ht="15" hidden="false" customHeight="false" outlineLevel="0" collapsed="false">
      <c r="A8" s="25" t="n">
        <v>4</v>
      </c>
      <c r="B8" s="45" t="n">
        <f aca="false">INT((A8-1)/12)+1</f>
        <v>1</v>
      </c>
      <c r="C8" s="45" t="n">
        <f aca="false">MOD(Ipotesi!$B$7-1+A8-1,12)+1</f>
        <v>2</v>
      </c>
      <c r="D8" s="46" t="n">
        <f aca="false">INDEX(Ipotesi!$B$58:$B$69,C8)</f>
        <v>1</v>
      </c>
      <c r="E8" s="45" t="n">
        <f aca="false">Ipotesi!$D$47*MIN(1,(A8/Ipotesi!$B$18)^2)*(1+Ipotesi!$D$48)^(MAX(0,A8-12)/12)*D8</f>
        <v>6666.66666666667</v>
      </c>
      <c r="F8" s="20" t="n">
        <f aca="false">E8*Ipotesi!$D$49</f>
        <v>23.3333333333333</v>
      </c>
      <c r="G8" s="20" t="n">
        <f aca="false">F8*Ipotesi!$D$50</f>
        <v>10.5</v>
      </c>
      <c r="H8" s="20" t="n">
        <f aca="false">G8*Ipotesi!$D$51</f>
        <v>6.3</v>
      </c>
      <c r="I8" s="20" t="n">
        <f aca="false">IF(A8&lt;=12,Ipotesi!$B$42,Ipotesi!$B$43)</f>
        <v>8.92193308550186</v>
      </c>
      <c r="J8" s="20" t="n">
        <f aca="false">MIN(H8,I8)</f>
        <v>6.3</v>
      </c>
      <c r="K8" s="20" t="n">
        <f aca="false">H8-J8</f>
        <v>0</v>
      </c>
      <c r="L8" s="18" t="n">
        <f aca="false">J8*Ipotesi!$B$37</f>
        <v>12820.5</v>
      </c>
      <c r="M8" s="18" t="n">
        <f aca="false">(G8-J8)*Ipotesi!$B$19</f>
        <v>420</v>
      </c>
      <c r="N8" s="18" t="n">
        <f aca="false">IF(A8&gt;=Ipotesi!$B$26,Ipotesi!$D$52*Ipotesi!$B$25/12,0)</f>
        <v>0</v>
      </c>
      <c r="O8" s="18" t="n">
        <f aca="false">IF(A8&gt;=Ipotesi!$B$27,Ipotesi!$D$53,0)</f>
        <v>0</v>
      </c>
      <c r="P8" s="18" t="n">
        <f aca="false">SUM(L8:O8)</f>
        <v>13240.5</v>
      </c>
      <c r="Q8" s="18" t="n">
        <f aca="false">IF(A8=1,Ipotesi!$B$10+Ipotesi!$B$11,0)+Ipotesi!$B$8*Ipotesi!$B$9+Ipotesi!$B$12+Ipotesi!$B$13+Ipotesi!$B$16*52/12*Ipotesi!$B$17</f>
        <v>620</v>
      </c>
      <c r="R8" s="18" t="n">
        <f aca="false">Ipotesi!$B$14*52/12*Ipotesi!$B$15</f>
        <v>1040</v>
      </c>
      <c r="S8" s="18" t="n">
        <f aca="false">J8*IF(A8&lt;=12,Ipotesi!$B$38,Ipotesi!$B$39)*Ipotesi!$B$22</f>
        <v>3813.075</v>
      </c>
      <c r="T8" s="18" t="n">
        <f aca="false">P8-Q8-R8-S8</f>
        <v>7767.425</v>
      </c>
      <c r="U8" s="18" t="n">
        <f aca="false">U7+T8</f>
        <v>7834.75796875</v>
      </c>
      <c r="V8" s="18" t="n">
        <f aca="false">L8*Ipotesi!$B$20+IF(A8&gt;Ipotesi!$B$21,INDEX($L$5:$L$40,A8-Ipotesi!$B$21)*(1-Ipotesi!$B$20),0)+M8+N8+O8</f>
        <v>6830.25</v>
      </c>
      <c r="W8" s="18" t="n">
        <f aca="false">V8-Q8-S8</f>
        <v>2397.175</v>
      </c>
      <c r="X8" s="18" t="n">
        <f aca="false">X7+W8</f>
        <v>656.62828125</v>
      </c>
      <c r="Y8" s="45" t="n">
        <f aca="false">IF(U8&gt;=0,A8,999)</f>
        <v>4</v>
      </c>
      <c r="Z8" s="20" t="n">
        <f aca="false">F8*SUMPRODUCT((Social!$C$6:$C$11&lt;=A8)*Social!$B$6:$B$11*Social!$I$6:$I$11)</f>
        <v>7</v>
      </c>
      <c r="AA8" s="20" t="n">
        <f aca="false">Z8*Ipotesi!$D$50</f>
        <v>3.15</v>
      </c>
      <c r="AB8" s="20" t="n">
        <f aca="false">AA8*Ipotesi!$D$51</f>
        <v>1.89</v>
      </c>
      <c r="AC8" s="20" t="n">
        <f aca="false">MIN(AB8,MAX(0,I8-J8))</f>
        <v>1.89</v>
      </c>
      <c r="AD8" s="18" t="n">
        <f aca="false">AC8*Ipotesi!$B$37+(AA8-AC8)*Ipotesi!$B$19</f>
        <v>3972.15</v>
      </c>
      <c r="AE8" s="18" t="n">
        <f aca="false">SUMPRODUCT((Social!$C$6:$C$11&lt;=A8)*Social!$J$6:$J$11)</f>
        <v>920</v>
      </c>
      <c r="AF8" s="18" t="n">
        <f aca="false">SUMPRODUCT((Social!$C$6:$C$11&lt;=A8)*Social!$K$6:$K$11)</f>
        <v>433.333333333333</v>
      </c>
      <c r="AG8" s="18" t="n">
        <f aca="false">AC8*IF(A8&lt;=12,Ipotesi!$B$38,Ipotesi!$B$39)*Ipotesi!$B$22</f>
        <v>1143.9225</v>
      </c>
      <c r="AH8" s="18" t="n">
        <f aca="false">AD8-AE8-AF8-AG8</f>
        <v>1474.89416666667</v>
      </c>
      <c r="AI8" s="18" t="n">
        <f aca="false">AI7+AH8</f>
        <v>916.727408854166</v>
      </c>
      <c r="AJ8" s="18" t="n">
        <f aca="false">U8+AI8</f>
        <v>8751.48537760417</v>
      </c>
      <c r="AK8" s="18" t="n">
        <f aca="false">AC8*Ipotesi!$B$37*Ipotesi!$B$20+IF(A8&gt;Ipotesi!$B$21,INDEX($AC$5:$AC$40,A8-Ipotesi!$B$21)*Ipotesi!$B$37*(1-Ipotesi!$B$20),0)+(AA8-AC8)*Ipotesi!$B$19</f>
        <v>2049.075</v>
      </c>
      <c r="AL8" s="18" t="n">
        <f aca="false">X8+SUM($AK$5:AK8)-SUM($AE$5:AE8)-SUM($AG$5:AG8)</f>
        <v>-888.3558984375</v>
      </c>
      <c r="AM8" s="45" t="n">
        <f aca="false">IF(AJ8&gt;=0,A8,999)</f>
        <v>4</v>
      </c>
    </row>
    <row r="9" customFormat="false" ht="15" hidden="false" customHeight="false" outlineLevel="0" collapsed="false">
      <c r="A9" s="25" t="n">
        <v>5</v>
      </c>
      <c r="B9" s="45" t="n">
        <f aca="false">INT((A9-1)/12)+1</f>
        <v>1</v>
      </c>
      <c r="C9" s="45" t="n">
        <f aca="false">MOD(Ipotesi!$B$7-1+A9-1,12)+1</f>
        <v>3</v>
      </c>
      <c r="D9" s="46" t="n">
        <f aca="false">INDEX(Ipotesi!$B$58:$B$69,C9)</f>
        <v>1.1</v>
      </c>
      <c r="E9" s="45" t="n">
        <f aca="false">Ipotesi!$D$47*MIN(1,(A9/Ipotesi!$B$18)^2)*(1+Ipotesi!$D$48)^(MAX(0,A9-12)/12)*D9</f>
        <v>11458.3333333333</v>
      </c>
      <c r="F9" s="20" t="n">
        <f aca="false">E9*Ipotesi!$D$49</f>
        <v>40.1041666666667</v>
      </c>
      <c r="G9" s="20" t="n">
        <f aca="false">F9*Ipotesi!$D$50</f>
        <v>18.046875</v>
      </c>
      <c r="H9" s="20" t="n">
        <f aca="false">G9*Ipotesi!$D$51</f>
        <v>10.828125</v>
      </c>
      <c r="I9" s="20" t="n">
        <f aca="false">IF(A9&lt;=12,Ipotesi!$B$42,Ipotesi!$B$43)</f>
        <v>8.92193308550186</v>
      </c>
      <c r="J9" s="20" t="n">
        <f aca="false">MIN(H9,I9)</f>
        <v>8.92193308550186</v>
      </c>
      <c r="K9" s="20" t="n">
        <f aca="false">H9-J9</f>
        <v>1.90619191449814</v>
      </c>
      <c r="L9" s="18" t="n">
        <f aca="false">J9*Ipotesi!$B$37</f>
        <v>18156.1338289963</v>
      </c>
      <c r="M9" s="18" t="n">
        <f aca="false">(G9-J9)*Ipotesi!$B$19</f>
        <v>912.494191449815</v>
      </c>
      <c r="N9" s="18" t="n">
        <f aca="false">IF(A9&gt;=Ipotesi!$B$26,Ipotesi!$D$52*Ipotesi!$B$25/12,0)</f>
        <v>0</v>
      </c>
      <c r="O9" s="18" t="n">
        <f aca="false">IF(A9&gt;=Ipotesi!$B$27,Ipotesi!$D$53,0)</f>
        <v>0</v>
      </c>
      <c r="P9" s="18" t="n">
        <f aca="false">SUM(L9:O9)</f>
        <v>19068.6280204461</v>
      </c>
      <c r="Q9" s="18" t="n">
        <f aca="false">IF(A9=1,Ipotesi!$B$10+Ipotesi!$B$11,0)+Ipotesi!$B$8*Ipotesi!$B$9+Ipotesi!$B$12+Ipotesi!$B$13+Ipotesi!$B$16*52/12*Ipotesi!$B$17</f>
        <v>620</v>
      </c>
      <c r="R9" s="18" t="n">
        <f aca="false">Ipotesi!$B$14*52/12*Ipotesi!$B$15</f>
        <v>1040</v>
      </c>
      <c r="S9" s="18" t="n">
        <f aca="false">J9*IF(A9&lt;=12,Ipotesi!$B$38,Ipotesi!$B$39)*Ipotesi!$B$22</f>
        <v>5400</v>
      </c>
      <c r="T9" s="18" t="n">
        <f aca="false">P9-Q9-R9-S9</f>
        <v>12008.6280204461</v>
      </c>
      <c r="U9" s="18" t="n">
        <f aca="false">U8+T9</f>
        <v>19843.3859891961</v>
      </c>
      <c r="V9" s="18" t="n">
        <f aca="false">L9*Ipotesi!$B$20+IF(A9&gt;Ipotesi!$B$21,INDEX($L$5:$L$40,A9-Ipotesi!$B$21)*(1-Ipotesi!$B$20),0)+M9+N9+O9</f>
        <v>9990.56110594796</v>
      </c>
      <c r="W9" s="18" t="n">
        <f aca="false">V9-Q9-S9</f>
        <v>3970.56110594796</v>
      </c>
      <c r="X9" s="18" t="n">
        <f aca="false">X8+W9</f>
        <v>4627.18938719796</v>
      </c>
      <c r="Y9" s="45" t="n">
        <f aca="false">IF(U9&gt;=0,A9,999)</f>
        <v>5</v>
      </c>
      <c r="Z9" s="20" t="n">
        <f aca="false">F9*SUMPRODUCT((Social!$C$6:$C$11&lt;=A9)*Social!$B$6:$B$11*Social!$I$6:$I$11)</f>
        <v>12.03125</v>
      </c>
      <c r="AA9" s="20" t="n">
        <f aca="false">Z9*Ipotesi!$D$50</f>
        <v>5.4140625</v>
      </c>
      <c r="AB9" s="20" t="n">
        <f aca="false">AA9*Ipotesi!$D$51</f>
        <v>3.2484375</v>
      </c>
      <c r="AC9" s="20" t="n">
        <f aca="false">MIN(AB9,MAX(0,I9-J9))</f>
        <v>0</v>
      </c>
      <c r="AD9" s="18" t="n">
        <f aca="false">AC9*Ipotesi!$B$37+(AA9-AC9)*Ipotesi!$B$19</f>
        <v>541.40625</v>
      </c>
      <c r="AE9" s="18" t="n">
        <f aca="false">SUMPRODUCT((Social!$C$6:$C$11&lt;=A9)*Social!$J$6:$J$11)</f>
        <v>920</v>
      </c>
      <c r="AF9" s="18" t="n">
        <f aca="false">SUMPRODUCT((Social!$C$6:$C$11&lt;=A9)*Social!$K$6:$K$11)</f>
        <v>433.333333333333</v>
      </c>
      <c r="AG9" s="18" t="n">
        <f aca="false">AC9*IF(A9&lt;=12,Ipotesi!$B$38,Ipotesi!$B$39)*Ipotesi!$B$22</f>
        <v>0</v>
      </c>
      <c r="AH9" s="18" t="n">
        <f aca="false">AD9-AE9-AF9-AG9</f>
        <v>-811.927083333333</v>
      </c>
      <c r="AI9" s="18" t="n">
        <f aca="false">AI8+AH9</f>
        <v>104.800325520833</v>
      </c>
      <c r="AJ9" s="18" t="n">
        <f aca="false">U9+AI9</f>
        <v>19948.1863147169</v>
      </c>
      <c r="AK9" s="18" t="n">
        <f aca="false">AC9*Ipotesi!$B$37*Ipotesi!$B$20+IF(A9&gt;Ipotesi!$B$21,INDEX($AC$5:$AC$40,A9-Ipotesi!$B$21)*Ipotesi!$B$37*(1-Ipotesi!$B$20),0)+(AA9-AC9)*Ipotesi!$B$19</f>
        <v>541.40625</v>
      </c>
      <c r="AL9" s="18" t="n">
        <f aca="false">X9+SUM($AK$5:AK9)-SUM($AE$5:AE9)-SUM($AG$5:AG9)</f>
        <v>2703.61145751046</v>
      </c>
      <c r="AM9" s="45" t="n">
        <f aca="false">IF(AJ9&gt;=0,A9,999)</f>
        <v>5</v>
      </c>
    </row>
    <row r="10" customFormat="false" ht="15" hidden="false" customHeight="false" outlineLevel="0" collapsed="false">
      <c r="A10" s="25" t="n">
        <v>6</v>
      </c>
      <c r="B10" s="45" t="n">
        <f aca="false">INT((A10-1)/12)+1</f>
        <v>1</v>
      </c>
      <c r="C10" s="45" t="n">
        <f aca="false">MOD(Ipotesi!$B$7-1+A10-1,12)+1</f>
        <v>4</v>
      </c>
      <c r="D10" s="46" t="n">
        <f aca="false">INDEX(Ipotesi!$B$58:$B$69,C10)</f>
        <v>1.2</v>
      </c>
      <c r="E10" s="45" t="n">
        <f aca="false">Ipotesi!$D$47*MIN(1,(A10/Ipotesi!$B$18)^2)*(1+Ipotesi!$D$48)^(MAX(0,A10-12)/12)*D10</f>
        <v>18000</v>
      </c>
      <c r="F10" s="20" t="n">
        <f aca="false">E10*Ipotesi!$D$49</f>
        <v>63</v>
      </c>
      <c r="G10" s="20" t="n">
        <f aca="false">F10*Ipotesi!$D$50</f>
        <v>28.35</v>
      </c>
      <c r="H10" s="20" t="n">
        <f aca="false">G10*Ipotesi!$D$51</f>
        <v>17.01</v>
      </c>
      <c r="I10" s="20" t="n">
        <f aca="false">IF(A10&lt;=12,Ipotesi!$B$42,Ipotesi!$B$43)</f>
        <v>8.92193308550186</v>
      </c>
      <c r="J10" s="20" t="n">
        <f aca="false">MIN(H10,I10)</f>
        <v>8.92193308550186</v>
      </c>
      <c r="K10" s="20" t="n">
        <f aca="false">H10-J10</f>
        <v>8.08806691449814</v>
      </c>
      <c r="L10" s="18" t="n">
        <f aca="false">J10*Ipotesi!$B$37</f>
        <v>18156.1338289963</v>
      </c>
      <c r="M10" s="18" t="n">
        <f aca="false">(G10-J10)*Ipotesi!$B$19</f>
        <v>1942.80669144981</v>
      </c>
      <c r="N10" s="18" t="n">
        <f aca="false">IF(A10&gt;=Ipotesi!$B$26,Ipotesi!$D$52*Ipotesi!$B$25/12,0)</f>
        <v>0</v>
      </c>
      <c r="O10" s="18" t="n">
        <f aca="false">IF(A10&gt;=Ipotesi!$B$27,Ipotesi!$D$53,0)</f>
        <v>0</v>
      </c>
      <c r="P10" s="18" t="n">
        <f aca="false">SUM(L10:O10)</f>
        <v>20098.9405204461</v>
      </c>
      <c r="Q10" s="18" t="n">
        <f aca="false">IF(A10=1,Ipotesi!$B$10+Ipotesi!$B$11,0)+Ipotesi!$B$8*Ipotesi!$B$9+Ipotesi!$B$12+Ipotesi!$B$13+Ipotesi!$B$16*52/12*Ipotesi!$B$17</f>
        <v>620</v>
      </c>
      <c r="R10" s="18" t="n">
        <f aca="false">Ipotesi!$B$14*52/12*Ipotesi!$B$15</f>
        <v>1040</v>
      </c>
      <c r="S10" s="18" t="n">
        <f aca="false">J10*IF(A10&lt;=12,Ipotesi!$B$38,Ipotesi!$B$39)*Ipotesi!$B$22</f>
        <v>5400</v>
      </c>
      <c r="T10" s="18" t="n">
        <f aca="false">P10-Q10-R10-S10</f>
        <v>13038.9405204461</v>
      </c>
      <c r="U10" s="18" t="n">
        <f aca="false">U9+T10</f>
        <v>32882.3265096422</v>
      </c>
      <c r="V10" s="18" t="n">
        <f aca="false">L10*Ipotesi!$B$20+IF(A10&gt;Ipotesi!$B$21,INDEX($L$5:$L$40,A10-Ipotesi!$B$21)*(1-Ipotesi!$B$20),0)+M10+N10+O10</f>
        <v>11020.873605948</v>
      </c>
      <c r="W10" s="18" t="n">
        <f aca="false">V10-Q10-S10</f>
        <v>5000.87360594796</v>
      </c>
      <c r="X10" s="18" t="n">
        <f aca="false">X9+W10</f>
        <v>9628.06299314591</v>
      </c>
      <c r="Y10" s="45" t="n">
        <f aca="false">IF(U10&gt;=0,A10,999)</f>
        <v>6</v>
      </c>
      <c r="Z10" s="20" t="n">
        <f aca="false">F10*SUMPRODUCT((Social!$C$6:$C$11&lt;=A10)*Social!$B$6:$B$11*Social!$I$6:$I$11)</f>
        <v>18.9</v>
      </c>
      <c r="AA10" s="20" t="n">
        <f aca="false">Z10*Ipotesi!$D$50</f>
        <v>8.505</v>
      </c>
      <c r="AB10" s="20" t="n">
        <f aca="false">AA10*Ipotesi!$D$51</f>
        <v>5.103</v>
      </c>
      <c r="AC10" s="20" t="n">
        <f aca="false">MIN(AB10,MAX(0,I10-J10))</f>
        <v>0</v>
      </c>
      <c r="AD10" s="18" t="n">
        <f aca="false">AC10*Ipotesi!$B$37+(AA10-AC10)*Ipotesi!$B$19</f>
        <v>850.5</v>
      </c>
      <c r="AE10" s="18" t="n">
        <f aca="false">SUMPRODUCT((Social!$C$6:$C$11&lt;=A10)*Social!$J$6:$J$11)</f>
        <v>920</v>
      </c>
      <c r="AF10" s="18" t="n">
        <f aca="false">SUMPRODUCT((Social!$C$6:$C$11&lt;=A10)*Social!$K$6:$K$11)</f>
        <v>433.333333333333</v>
      </c>
      <c r="AG10" s="18" t="n">
        <f aca="false">AC10*IF(A10&lt;=12,Ipotesi!$B$38,Ipotesi!$B$39)*Ipotesi!$B$22</f>
        <v>0</v>
      </c>
      <c r="AH10" s="18" t="n">
        <f aca="false">AD10-AE10-AF10-AG10</f>
        <v>-502.833333333333</v>
      </c>
      <c r="AI10" s="18" t="n">
        <f aca="false">AI9+AH10</f>
        <v>-398.0330078125</v>
      </c>
      <c r="AJ10" s="18" t="n">
        <f aca="false">U10+AI10</f>
        <v>32484.2935018297</v>
      </c>
      <c r="AK10" s="18" t="n">
        <f aca="false">AC10*Ipotesi!$B$37*Ipotesi!$B$20+IF(A10&gt;Ipotesi!$B$21,INDEX($AC$5:$AC$40,A10-Ipotesi!$B$21)*Ipotesi!$B$37*(1-Ipotesi!$B$20),0)+(AA10-AC10)*Ipotesi!$B$19</f>
        <v>850.5</v>
      </c>
      <c r="AL10" s="18" t="n">
        <f aca="false">X10+SUM($AK$5:AK10)-SUM($AE$5:AE10)-SUM($AG$5:AG10)</f>
        <v>7634.98506345841</v>
      </c>
      <c r="AM10" s="45" t="n">
        <f aca="false">IF(AJ10&gt;=0,A10,999)</f>
        <v>6</v>
      </c>
    </row>
    <row r="11" customFormat="false" ht="15" hidden="false" customHeight="false" outlineLevel="0" collapsed="false">
      <c r="A11" s="25" t="n">
        <v>7</v>
      </c>
      <c r="B11" s="45" t="n">
        <f aca="false">INT((A11-1)/12)+1</f>
        <v>1</v>
      </c>
      <c r="C11" s="45" t="n">
        <f aca="false">MOD(Ipotesi!$B$7-1+A11-1,12)+1</f>
        <v>5</v>
      </c>
      <c r="D11" s="46" t="n">
        <f aca="false">INDEX(Ipotesi!$B$58:$B$69,C11)</f>
        <v>1.1</v>
      </c>
      <c r="E11" s="45" t="n">
        <f aca="false">Ipotesi!$D$47*MIN(1,(A11/Ipotesi!$B$18)^2)*(1+Ipotesi!$D$48)^(MAX(0,A11-12)/12)*D11</f>
        <v>16500</v>
      </c>
      <c r="F11" s="20" t="n">
        <f aca="false">E11*Ipotesi!$D$49</f>
        <v>57.75</v>
      </c>
      <c r="G11" s="20" t="n">
        <f aca="false">F11*Ipotesi!$D$50</f>
        <v>25.9875</v>
      </c>
      <c r="H11" s="20" t="n">
        <f aca="false">G11*Ipotesi!$D$51</f>
        <v>15.5925</v>
      </c>
      <c r="I11" s="20" t="n">
        <f aca="false">IF(A11&lt;=12,Ipotesi!$B$42,Ipotesi!$B$43)</f>
        <v>8.92193308550186</v>
      </c>
      <c r="J11" s="20" t="n">
        <f aca="false">MIN(H11,I11)</f>
        <v>8.92193308550186</v>
      </c>
      <c r="K11" s="20" t="n">
        <f aca="false">H11-J11</f>
        <v>6.67056691449814</v>
      </c>
      <c r="L11" s="18" t="n">
        <f aca="false">J11*Ipotesi!$B$37</f>
        <v>18156.1338289963</v>
      </c>
      <c r="M11" s="18" t="n">
        <f aca="false">(G11-J11)*Ipotesi!$B$19</f>
        <v>1706.55669144981</v>
      </c>
      <c r="N11" s="18" t="n">
        <f aca="false">IF(A11&gt;=Ipotesi!$B$26,Ipotesi!$D$52*Ipotesi!$B$25/12,0)</f>
        <v>0</v>
      </c>
      <c r="O11" s="18" t="n">
        <f aca="false">IF(A11&gt;=Ipotesi!$B$27,Ipotesi!$D$53,0)</f>
        <v>0</v>
      </c>
      <c r="P11" s="18" t="n">
        <f aca="false">SUM(L11:O11)</f>
        <v>19862.6905204461</v>
      </c>
      <c r="Q11" s="18" t="n">
        <f aca="false">IF(A11=1,Ipotesi!$B$10+Ipotesi!$B$11,0)+Ipotesi!$B$8*Ipotesi!$B$9+Ipotesi!$B$12+Ipotesi!$B$13+Ipotesi!$B$16*52/12*Ipotesi!$B$17</f>
        <v>620</v>
      </c>
      <c r="R11" s="18" t="n">
        <f aca="false">Ipotesi!$B$14*52/12*Ipotesi!$B$15</f>
        <v>1040</v>
      </c>
      <c r="S11" s="18" t="n">
        <f aca="false">J11*IF(A11&lt;=12,Ipotesi!$B$38,Ipotesi!$B$39)*Ipotesi!$B$22</f>
        <v>5400</v>
      </c>
      <c r="T11" s="18" t="n">
        <f aca="false">P11-Q11-R11-S11</f>
        <v>12802.6905204461</v>
      </c>
      <c r="U11" s="18" t="n">
        <f aca="false">U10+T11</f>
        <v>45685.0170300883</v>
      </c>
      <c r="V11" s="18" t="n">
        <f aca="false">L11*Ipotesi!$B$20+IF(A11&gt;Ipotesi!$B$21,INDEX($L$5:$L$40,A11-Ipotesi!$B$21)*(1-Ipotesi!$B$20),0)+M11+N11+O11</f>
        <v>11185.264230948</v>
      </c>
      <c r="W11" s="18" t="n">
        <f aca="false">V11-Q11-S11</f>
        <v>5165.26423094796</v>
      </c>
      <c r="X11" s="18" t="n">
        <f aca="false">X10+W11</f>
        <v>14793.3272240939</v>
      </c>
      <c r="Y11" s="45" t="n">
        <f aca="false">IF(U11&gt;=0,A11,999)</f>
        <v>7</v>
      </c>
      <c r="Z11" s="20" t="n">
        <f aca="false">F11*SUMPRODUCT((Social!$C$6:$C$11&lt;=A11)*Social!$B$6:$B$11*Social!$I$6:$I$11)</f>
        <v>17.325</v>
      </c>
      <c r="AA11" s="20" t="n">
        <f aca="false">Z11*Ipotesi!$D$50</f>
        <v>7.79625</v>
      </c>
      <c r="AB11" s="20" t="n">
        <f aca="false">AA11*Ipotesi!$D$51</f>
        <v>4.67775</v>
      </c>
      <c r="AC11" s="20" t="n">
        <f aca="false">MIN(AB11,MAX(0,I11-J11))</f>
        <v>0</v>
      </c>
      <c r="AD11" s="18" t="n">
        <f aca="false">AC11*Ipotesi!$B$37+(AA11-AC11)*Ipotesi!$B$19</f>
        <v>779.625</v>
      </c>
      <c r="AE11" s="18" t="n">
        <f aca="false">SUMPRODUCT((Social!$C$6:$C$11&lt;=A11)*Social!$J$6:$J$11)</f>
        <v>920</v>
      </c>
      <c r="AF11" s="18" t="n">
        <f aca="false">SUMPRODUCT((Social!$C$6:$C$11&lt;=A11)*Social!$K$6:$K$11)</f>
        <v>433.333333333333</v>
      </c>
      <c r="AG11" s="18" t="n">
        <f aca="false">AC11*IF(A11&lt;=12,Ipotesi!$B$38,Ipotesi!$B$39)*Ipotesi!$B$22</f>
        <v>0</v>
      </c>
      <c r="AH11" s="18" t="n">
        <f aca="false">AD11-AE11-AF11-AG11</f>
        <v>-573.708333333333</v>
      </c>
      <c r="AI11" s="18" t="n">
        <f aca="false">AI10+AH11</f>
        <v>-971.741341145833</v>
      </c>
      <c r="AJ11" s="18" t="n">
        <f aca="false">U11+AI11</f>
        <v>44713.2756889425</v>
      </c>
      <c r="AK11" s="18" t="n">
        <f aca="false">AC11*Ipotesi!$B$37*Ipotesi!$B$20+IF(A11&gt;Ipotesi!$B$21,INDEX($AC$5:$AC$40,A11-Ipotesi!$B$21)*Ipotesi!$B$37*(1-Ipotesi!$B$20),0)+(AA11-AC11)*Ipotesi!$B$19</f>
        <v>879.78515625</v>
      </c>
      <c r="AL11" s="18" t="n">
        <f aca="false">X11+SUM($AK$5:AK11)-SUM($AE$5:AE11)-SUM($AG$5:AG11)</f>
        <v>12760.0344506564</v>
      </c>
      <c r="AM11" s="45" t="n">
        <f aca="false">IF(AJ11&gt;=0,A11,999)</f>
        <v>7</v>
      </c>
    </row>
    <row r="12" customFormat="false" ht="15" hidden="false" customHeight="false" outlineLevel="0" collapsed="false">
      <c r="A12" s="25" t="n">
        <v>8</v>
      </c>
      <c r="B12" s="45" t="n">
        <f aca="false">INT((A12-1)/12)+1</f>
        <v>1</v>
      </c>
      <c r="C12" s="45" t="n">
        <f aca="false">MOD(Ipotesi!$B$7-1+A12-1,12)+1</f>
        <v>6</v>
      </c>
      <c r="D12" s="46" t="n">
        <f aca="false">INDEX(Ipotesi!$B$58:$B$69,C12)</f>
        <v>1</v>
      </c>
      <c r="E12" s="45" t="n">
        <f aca="false">Ipotesi!$D$47*MIN(1,(A12/Ipotesi!$B$18)^2)*(1+Ipotesi!$D$48)^(MAX(0,A12-12)/12)*D12</f>
        <v>15000</v>
      </c>
      <c r="F12" s="20" t="n">
        <f aca="false">E12*Ipotesi!$D$49</f>
        <v>52.5</v>
      </c>
      <c r="G12" s="20" t="n">
        <f aca="false">F12*Ipotesi!$D$50</f>
        <v>23.625</v>
      </c>
      <c r="H12" s="20" t="n">
        <f aca="false">G12*Ipotesi!$D$51</f>
        <v>14.175</v>
      </c>
      <c r="I12" s="20" t="n">
        <f aca="false">IF(A12&lt;=12,Ipotesi!$B$42,Ipotesi!$B$43)</f>
        <v>8.92193308550186</v>
      </c>
      <c r="J12" s="20" t="n">
        <f aca="false">MIN(H12,I12)</f>
        <v>8.92193308550186</v>
      </c>
      <c r="K12" s="20" t="n">
        <f aca="false">H12-J12</f>
        <v>5.25306691449814</v>
      </c>
      <c r="L12" s="18" t="n">
        <f aca="false">J12*Ipotesi!$B$37</f>
        <v>18156.1338289963</v>
      </c>
      <c r="M12" s="18" t="n">
        <f aca="false">(G12-J12)*Ipotesi!$B$19</f>
        <v>1470.30669144981</v>
      </c>
      <c r="N12" s="18" t="n">
        <f aca="false">IF(A12&gt;=Ipotesi!$B$26,Ipotesi!$D$52*Ipotesi!$B$25/12,0)</f>
        <v>0</v>
      </c>
      <c r="O12" s="18" t="n">
        <f aca="false">IF(A12&gt;=Ipotesi!$B$27,Ipotesi!$D$53,0)</f>
        <v>0</v>
      </c>
      <c r="P12" s="18" t="n">
        <f aca="false">SUM(L12:O12)</f>
        <v>19626.4405204461</v>
      </c>
      <c r="Q12" s="18" t="n">
        <f aca="false">IF(A12=1,Ipotesi!$B$10+Ipotesi!$B$11,0)+Ipotesi!$B$8*Ipotesi!$B$9+Ipotesi!$B$12+Ipotesi!$B$13+Ipotesi!$B$16*52/12*Ipotesi!$B$17</f>
        <v>620</v>
      </c>
      <c r="R12" s="18" t="n">
        <f aca="false">Ipotesi!$B$14*52/12*Ipotesi!$B$15</f>
        <v>1040</v>
      </c>
      <c r="S12" s="18" t="n">
        <f aca="false">J12*IF(A12&lt;=12,Ipotesi!$B$38,Ipotesi!$B$39)*Ipotesi!$B$22</f>
        <v>5400</v>
      </c>
      <c r="T12" s="18" t="n">
        <f aca="false">P12-Q12-R12-S12</f>
        <v>12566.4405204461</v>
      </c>
      <c r="U12" s="18" t="n">
        <f aca="false">U11+T12</f>
        <v>58251.4575505344</v>
      </c>
      <c r="V12" s="18" t="n">
        <f aca="false">L12*Ipotesi!$B$20+IF(A12&gt;Ipotesi!$B$21,INDEX($L$5:$L$40,A12-Ipotesi!$B$21)*(1-Ipotesi!$B$20),0)+M12+N12+O12</f>
        <v>11830.423605948</v>
      </c>
      <c r="W12" s="18" t="n">
        <f aca="false">V12-Q12-S12</f>
        <v>5810.42360594796</v>
      </c>
      <c r="X12" s="18" t="n">
        <f aca="false">X11+W12</f>
        <v>20603.7508300418</v>
      </c>
      <c r="Y12" s="45" t="n">
        <f aca="false">IF(U12&gt;=0,A12,999)</f>
        <v>8</v>
      </c>
      <c r="Z12" s="20" t="n">
        <f aca="false">F12*SUMPRODUCT((Social!$C$6:$C$11&lt;=A12)*Social!$B$6:$B$11*Social!$I$6:$I$11)</f>
        <v>15.75</v>
      </c>
      <c r="AA12" s="20" t="n">
        <f aca="false">Z12*Ipotesi!$D$50</f>
        <v>7.0875</v>
      </c>
      <c r="AB12" s="20" t="n">
        <f aca="false">AA12*Ipotesi!$D$51</f>
        <v>4.2525</v>
      </c>
      <c r="AC12" s="20" t="n">
        <f aca="false">MIN(AB12,MAX(0,I12-J12))</f>
        <v>0</v>
      </c>
      <c r="AD12" s="18" t="n">
        <f aca="false">AC12*Ipotesi!$B$37+(AA12-AC12)*Ipotesi!$B$19</f>
        <v>708.75</v>
      </c>
      <c r="AE12" s="18" t="n">
        <f aca="false">SUMPRODUCT((Social!$C$6:$C$11&lt;=A12)*Social!$J$6:$J$11)</f>
        <v>920</v>
      </c>
      <c r="AF12" s="18" t="n">
        <f aca="false">SUMPRODUCT((Social!$C$6:$C$11&lt;=A12)*Social!$K$6:$K$11)</f>
        <v>433.333333333333</v>
      </c>
      <c r="AG12" s="18" t="n">
        <f aca="false">AC12*IF(A12&lt;=12,Ipotesi!$B$38,Ipotesi!$B$39)*Ipotesi!$B$22</f>
        <v>0</v>
      </c>
      <c r="AH12" s="18" t="n">
        <f aca="false">AD12-AE12-AF12-AG12</f>
        <v>-644.583333333333</v>
      </c>
      <c r="AI12" s="18" t="n">
        <f aca="false">AI11+AH12</f>
        <v>-1616.32467447917</v>
      </c>
      <c r="AJ12" s="18" t="n">
        <f aca="false">U12+AI12</f>
        <v>56635.1328760552</v>
      </c>
      <c r="AK12" s="18" t="n">
        <f aca="false">AC12*Ipotesi!$B$37*Ipotesi!$B$20+IF(A12&gt;Ipotesi!$B$21,INDEX($AC$5:$AC$40,A12-Ipotesi!$B$21)*Ipotesi!$B$37*(1-Ipotesi!$B$20),0)+(AA12-AC12)*Ipotesi!$B$19</f>
        <v>1029.2625</v>
      </c>
      <c r="AL12" s="18" t="n">
        <f aca="false">X12+SUM($AK$5:AK12)-SUM($AE$5:AE12)-SUM($AG$5:AG12)</f>
        <v>18679.7205566043</v>
      </c>
      <c r="AM12" s="45" t="n">
        <f aca="false">IF(AJ12&gt;=0,A12,999)</f>
        <v>8</v>
      </c>
    </row>
    <row r="13" customFormat="false" ht="15" hidden="false" customHeight="false" outlineLevel="0" collapsed="false">
      <c r="A13" s="25" t="n">
        <v>9</v>
      </c>
      <c r="B13" s="45" t="n">
        <f aca="false">INT((A13-1)/12)+1</f>
        <v>1</v>
      </c>
      <c r="C13" s="45" t="n">
        <f aca="false">MOD(Ipotesi!$B$7-1+A13-1,12)+1</f>
        <v>7</v>
      </c>
      <c r="D13" s="46" t="n">
        <f aca="false">INDEX(Ipotesi!$B$58:$B$69,C13)</f>
        <v>1</v>
      </c>
      <c r="E13" s="45" t="n">
        <f aca="false">Ipotesi!$D$47*MIN(1,(A13/Ipotesi!$B$18)^2)*(1+Ipotesi!$D$48)^(MAX(0,A13-12)/12)*D13</f>
        <v>15000</v>
      </c>
      <c r="F13" s="20" t="n">
        <f aca="false">E13*Ipotesi!$D$49</f>
        <v>52.5</v>
      </c>
      <c r="G13" s="20" t="n">
        <f aca="false">F13*Ipotesi!$D$50</f>
        <v>23.625</v>
      </c>
      <c r="H13" s="20" t="n">
        <f aca="false">G13*Ipotesi!$D$51</f>
        <v>14.175</v>
      </c>
      <c r="I13" s="20" t="n">
        <f aca="false">IF(A13&lt;=12,Ipotesi!$B$42,Ipotesi!$B$43)</f>
        <v>8.92193308550186</v>
      </c>
      <c r="J13" s="20" t="n">
        <f aca="false">MIN(H13,I13)</f>
        <v>8.92193308550186</v>
      </c>
      <c r="K13" s="20" t="n">
        <f aca="false">H13-J13</f>
        <v>5.25306691449814</v>
      </c>
      <c r="L13" s="18" t="n">
        <f aca="false">J13*Ipotesi!$B$37</f>
        <v>18156.1338289963</v>
      </c>
      <c r="M13" s="18" t="n">
        <f aca="false">(G13-J13)*Ipotesi!$B$19</f>
        <v>1470.30669144981</v>
      </c>
      <c r="N13" s="18" t="n">
        <f aca="false">IF(A13&gt;=Ipotesi!$B$26,Ipotesi!$D$52*Ipotesi!$B$25/12,0)</f>
        <v>0</v>
      </c>
      <c r="O13" s="18" t="n">
        <f aca="false">IF(A13&gt;=Ipotesi!$B$27,Ipotesi!$D$53,0)</f>
        <v>0</v>
      </c>
      <c r="P13" s="18" t="n">
        <f aca="false">SUM(L13:O13)</f>
        <v>19626.4405204461</v>
      </c>
      <c r="Q13" s="18" t="n">
        <f aca="false">IF(A13=1,Ipotesi!$B$10+Ipotesi!$B$11,0)+Ipotesi!$B$8*Ipotesi!$B$9+Ipotesi!$B$12+Ipotesi!$B$13+Ipotesi!$B$16*52/12*Ipotesi!$B$17</f>
        <v>620</v>
      </c>
      <c r="R13" s="18" t="n">
        <f aca="false">Ipotesi!$B$14*52/12*Ipotesi!$B$15</f>
        <v>1040</v>
      </c>
      <c r="S13" s="18" t="n">
        <f aca="false">J13*IF(A13&lt;=12,Ipotesi!$B$38,Ipotesi!$B$39)*Ipotesi!$B$22</f>
        <v>5400</v>
      </c>
      <c r="T13" s="18" t="n">
        <f aca="false">P13-Q13-R13-S13</f>
        <v>12566.4405204461</v>
      </c>
      <c r="U13" s="18" t="n">
        <f aca="false">U12+T13</f>
        <v>70817.8980709805</v>
      </c>
      <c r="V13" s="18" t="n">
        <f aca="false">L13*Ipotesi!$B$20+IF(A13&gt;Ipotesi!$B$21,INDEX($L$5:$L$40,A13-Ipotesi!$B$21)*(1-Ipotesi!$B$20),0)+M13+N13+O13</f>
        <v>13793.562668448</v>
      </c>
      <c r="W13" s="18" t="n">
        <f aca="false">V13-Q13-S13</f>
        <v>7773.56266844796</v>
      </c>
      <c r="X13" s="18" t="n">
        <f aca="false">X12+W13</f>
        <v>28377.3134984898</v>
      </c>
      <c r="Y13" s="45" t="n">
        <f aca="false">IF(U13&gt;=0,A13,999)</f>
        <v>9</v>
      </c>
      <c r="Z13" s="20" t="n">
        <f aca="false">F13*SUMPRODUCT((Social!$C$6:$C$11&lt;=A13)*Social!$B$6:$B$11*Social!$I$6:$I$11)</f>
        <v>15.75</v>
      </c>
      <c r="AA13" s="20" t="n">
        <f aca="false">Z13*Ipotesi!$D$50</f>
        <v>7.0875</v>
      </c>
      <c r="AB13" s="20" t="n">
        <f aca="false">AA13*Ipotesi!$D$51</f>
        <v>4.2525</v>
      </c>
      <c r="AC13" s="20" t="n">
        <f aca="false">MIN(AB13,MAX(0,I13-J13))</f>
        <v>0</v>
      </c>
      <c r="AD13" s="18" t="n">
        <f aca="false">AC13*Ipotesi!$B$37+(AA13-AC13)*Ipotesi!$B$19</f>
        <v>708.75</v>
      </c>
      <c r="AE13" s="18" t="n">
        <f aca="false">SUMPRODUCT((Social!$C$6:$C$11&lt;=A13)*Social!$J$6:$J$11)</f>
        <v>920</v>
      </c>
      <c r="AF13" s="18" t="n">
        <f aca="false">SUMPRODUCT((Social!$C$6:$C$11&lt;=A13)*Social!$K$6:$K$11)</f>
        <v>433.333333333333</v>
      </c>
      <c r="AG13" s="18" t="n">
        <f aca="false">AC13*IF(A13&lt;=12,Ipotesi!$B$38,Ipotesi!$B$39)*Ipotesi!$B$22</f>
        <v>0</v>
      </c>
      <c r="AH13" s="18" t="n">
        <f aca="false">AD13-AE13-AF13-AG13</f>
        <v>-644.583333333333</v>
      </c>
      <c r="AI13" s="18" t="n">
        <f aca="false">AI12+AH13</f>
        <v>-2260.9080078125</v>
      </c>
      <c r="AJ13" s="18" t="n">
        <f aca="false">U13+AI13</f>
        <v>68556.990063168</v>
      </c>
      <c r="AK13" s="18" t="n">
        <f aca="false">AC13*Ipotesi!$B$37*Ipotesi!$B$20+IF(A13&gt;Ipotesi!$B$21,INDEX($AC$5:$AC$40,A13-Ipotesi!$B$21)*Ipotesi!$B$37*(1-Ipotesi!$B$20),0)+(AA13-AC13)*Ipotesi!$B$19</f>
        <v>1520.047265625</v>
      </c>
      <c r="AL13" s="18" t="n">
        <f aca="false">X13+SUM($AK$5:AK13)-SUM($AE$5:AE13)-SUM($AG$5:AG13)</f>
        <v>27053.3304906773</v>
      </c>
      <c r="AM13" s="45" t="n">
        <f aca="false">IF(AJ13&gt;=0,A13,999)</f>
        <v>9</v>
      </c>
    </row>
    <row r="14" customFormat="false" ht="15" hidden="false" customHeight="false" outlineLevel="0" collapsed="false">
      <c r="A14" s="25" t="n">
        <v>10</v>
      </c>
      <c r="B14" s="45" t="n">
        <f aca="false">INT((A14-1)/12)+1</f>
        <v>1</v>
      </c>
      <c r="C14" s="45" t="n">
        <f aca="false">MOD(Ipotesi!$B$7-1+A14-1,12)+1</f>
        <v>8</v>
      </c>
      <c r="D14" s="46" t="n">
        <f aca="false">INDEX(Ipotesi!$B$58:$B$69,C14)</f>
        <v>0.7</v>
      </c>
      <c r="E14" s="45" t="n">
        <f aca="false">Ipotesi!$D$47*MIN(1,(A14/Ipotesi!$B$18)^2)*(1+Ipotesi!$D$48)^(MAX(0,A14-12)/12)*D14</f>
        <v>10500</v>
      </c>
      <c r="F14" s="20" t="n">
        <f aca="false">E14*Ipotesi!$D$49</f>
        <v>36.75</v>
      </c>
      <c r="G14" s="20" t="n">
        <f aca="false">F14*Ipotesi!$D$50</f>
        <v>16.5375</v>
      </c>
      <c r="H14" s="20" t="n">
        <f aca="false">G14*Ipotesi!$D$51</f>
        <v>9.9225</v>
      </c>
      <c r="I14" s="20" t="n">
        <f aca="false">IF(A14&lt;=12,Ipotesi!$B$42,Ipotesi!$B$43)</f>
        <v>8.92193308550186</v>
      </c>
      <c r="J14" s="20" t="n">
        <f aca="false">MIN(H14,I14)</f>
        <v>8.92193308550186</v>
      </c>
      <c r="K14" s="20" t="n">
        <f aca="false">H14-J14</f>
        <v>1.00056691449814</v>
      </c>
      <c r="L14" s="18" t="n">
        <f aca="false">J14*Ipotesi!$B$37</f>
        <v>18156.1338289963</v>
      </c>
      <c r="M14" s="18" t="n">
        <f aca="false">(G14-J14)*Ipotesi!$B$19</f>
        <v>761.556691449814</v>
      </c>
      <c r="N14" s="18" t="n">
        <f aca="false">IF(A14&gt;=Ipotesi!$B$26,Ipotesi!$D$52*Ipotesi!$B$25/12,0)</f>
        <v>0</v>
      </c>
      <c r="O14" s="18" t="n">
        <f aca="false">IF(A14&gt;=Ipotesi!$B$27,Ipotesi!$D$53,0)</f>
        <v>0</v>
      </c>
      <c r="P14" s="18" t="n">
        <f aca="false">SUM(L14:O14)</f>
        <v>18917.6905204461</v>
      </c>
      <c r="Q14" s="18" t="n">
        <f aca="false">IF(A14=1,Ipotesi!$B$10+Ipotesi!$B$11,0)+Ipotesi!$B$8*Ipotesi!$B$9+Ipotesi!$B$12+Ipotesi!$B$13+Ipotesi!$B$16*52/12*Ipotesi!$B$17</f>
        <v>620</v>
      </c>
      <c r="R14" s="18" t="n">
        <f aca="false">Ipotesi!$B$14*52/12*Ipotesi!$B$15</f>
        <v>1040</v>
      </c>
      <c r="S14" s="18" t="n">
        <f aca="false">J14*IF(A14&lt;=12,Ipotesi!$B$38,Ipotesi!$B$39)*Ipotesi!$B$22</f>
        <v>5400</v>
      </c>
      <c r="T14" s="18" t="n">
        <f aca="false">P14-Q14-R14-S14</f>
        <v>11857.6905204461</v>
      </c>
      <c r="U14" s="18" t="n">
        <f aca="false">U13+T14</f>
        <v>82675.5885914266</v>
      </c>
      <c r="V14" s="18" t="n">
        <f aca="false">L14*Ipotesi!$B$20+IF(A14&gt;Ipotesi!$B$21,INDEX($L$5:$L$40,A14-Ipotesi!$B$21)*(1-Ipotesi!$B$20),0)+M14+N14+O14</f>
        <v>16249.873605948</v>
      </c>
      <c r="W14" s="18" t="n">
        <f aca="false">V14-Q14-S14</f>
        <v>10229.873605948</v>
      </c>
      <c r="X14" s="18" t="n">
        <f aca="false">X13+W14</f>
        <v>38607.1871044377</v>
      </c>
      <c r="Y14" s="45" t="n">
        <f aca="false">IF(U14&gt;=0,A14,999)</f>
        <v>10</v>
      </c>
      <c r="Z14" s="20" t="n">
        <f aca="false">F14*SUMPRODUCT((Social!$C$6:$C$11&lt;=A14)*Social!$B$6:$B$11*Social!$I$6:$I$11)</f>
        <v>11.025</v>
      </c>
      <c r="AA14" s="20" t="n">
        <f aca="false">Z14*Ipotesi!$D$50</f>
        <v>4.96125</v>
      </c>
      <c r="AB14" s="20" t="n">
        <f aca="false">AA14*Ipotesi!$D$51</f>
        <v>2.97675</v>
      </c>
      <c r="AC14" s="20" t="n">
        <f aca="false">MIN(AB14,MAX(0,I14-J14))</f>
        <v>0</v>
      </c>
      <c r="AD14" s="18" t="n">
        <f aca="false">AC14*Ipotesi!$B$37+(AA14-AC14)*Ipotesi!$B$19</f>
        <v>496.125</v>
      </c>
      <c r="AE14" s="18" t="n">
        <f aca="false">SUMPRODUCT((Social!$C$6:$C$11&lt;=A14)*Social!$J$6:$J$11)</f>
        <v>920</v>
      </c>
      <c r="AF14" s="18" t="n">
        <f aca="false">SUMPRODUCT((Social!$C$6:$C$11&lt;=A14)*Social!$K$6:$K$11)</f>
        <v>433.333333333333</v>
      </c>
      <c r="AG14" s="18" t="n">
        <f aca="false">AC14*IF(A14&lt;=12,Ipotesi!$B$38,Ipotesi!$B$39)*Ipotesi!$B$22</f>
        <v>0</v>
      </c>
      <c r="AH14" s="18" t="n">
        <f aca="false">AD14-AE14-AF14-AG14</f>
        <v>-857.208333333333</v>
      </c>
      <c r="AI14" s="18" t="n">
        <f aca="false">AI13+AH14</f>
        <v>-3118.11634114583</v>
      </c>
      <c r="AJ14" s="18" t="n">
        <f aca="false">U14+AI14</f>
        <v>79557.4722502808</v>
      </c>
      <c r="AK14" s="18" t="n">
        <f aca="false">AC14*Ipotesi!$B$37*Ipotesi!$B$20+IF(A14&gt;Ipotesi!$B$21,INDEX($AC$5:$AC$40,A14-Ipotesi!$B$21)*Ipotesi!$B$37*(1-Ipotesi!$B$20),0)+(AA14-AC14)*Ipotesi!$B$19</f>
        <v>2419.2</v>
      </c>
      <c r="AL14" s="18" t="n">
        <f aca="false">X14+SUM($AK$5:AK14)-SUM($AE$5:AE14)-SUM($AG$5:AG14)</f>
        <v>38782.4040966252</v>
      </c>
      <c r="AM14" s="45" t="n">
        <f aca="false">IF(AJ14&gt;=0,A14,999)</f>
        <v>10</v>
      </c>
    </row>
    <row r="15" customFormat="false" ht="15" hidden="false" customHeight="false" outlineLevel="0" collapsed="false">
      <c r="A15" s="25" t="n">
        <v>11</v>
      </c>
      <c r="B15" s="45" t="n">
        <f aca="false">INT((A15-1)/12)+1</f>
        <v>1</v>
      </c>
      <c r="C15" s="45" t="n">
        <f aca="false">MOD(Ipotesi!$B$7-1+A15-1,12)+1</f>
        <v>9</v>
      </c>
      <c r="D15" s="46" t="n">
        <f aca="false">INDEX(Ipotesi!$B$58:$B$69,C15)</f>
        <v>1.1</v>
      </c>
      <c r="E15" s="45" t="n">
        <f aca="false">Ipotesi!$D$47*MIN(1,(A15/Ipotesi!$B$18)^2)*(1+Ipotesi!$D$48)^(MAX(0,A15-12)/12)*D15</f>
        <v>16500</v>
      </c>
      <c r="F15" s="20" t="n">
        <f aca="false">E15*Ipotesi!$D$49</f>
        <v>57.75</v>
      </c>
      <c r="G15" s="20" t="n">
        <f aca="false">F15*Ipotesi!$D$50</f>
        <v>25.9875</v>
      </c>
      <c r="H15" s="20" t="n">
        <f aca="false">G15*Ipotesi!$D$51</f>
        <v>15.5925</v>
      </c>
      <c r="I15" s="20" t="n">
        <f aca="false">IF(A15&lt;=12,Ipotesi!$B$42,Ipotesi!$B$43)</f>
        <v>8.92193308550186</v>
      </c>
      <c r="J15" s="20" t="n">
        <f aca="false">MIN(H15,I15)</f>
        <v>8.92193308550186</v>
      </c>
      <c r="K15" s="20" t="n">
        <f aca="false">H15-J15</f>
        <v>6.67056691449814</v>
      </c>
      <c r="L15" s="18" t="n">
        <f aca="false">J15*Ipotesi!$B$37</f>
        <v>18156.1338289963</v>
      </c>
      <c r="M15" s="18" t="n">
        <f aca="false">(G15-J15)*Ipotesi!$B$19</f>
        <v>1706.55669144981</v>
      </c>
      <c r="N15" s="18" t="n">
        <f aca="false">IF(A15&gt;=Ipotesi!$B$26,Ipotesi!$D$52*Ipotesi!$B$25/12,0)</f>
        <v>0</v>
      </c>
      <c r="O15" s="18" t="n">
        <f aca="false">IF(A15&gt;=Ipotesi!$B$27,Ipotesi!$D$53,0)</f>
        <v>0</v>
      </c>
      <c r="P15" s="18" t="n">
        <f aca="false">SUM(L15:O15)</f>
        <v>19862.6905204461</v>
      </c>
      <c r="Q15" s="18" t="n">
        <f aca="false">IF(A15=1,Ipotesi!$B$10+Ipotesi!$B$11,0)+Ipotesi!$B$8*Ipotesi!$B$9+Ipotesi!$B$12+Ipotesi!$B$13+Ipotesi!$B$16*52/12*Ipotesi!$B$17</f>
        <v>620</v>
      </c>
      <c r="R15" s="18" t="n">
        <f aca="false">Ipotesi!$B$14*52/12*Ipotesi!$B$15</f>
        <v>1040</v>
      </c>
      <c r="S15" s="18" t="n">
        <f aca="false">J15*IF(A15&lt;=12,Ipotesi!$B$38,Ipotesi!$B$39)*Ipotesi!$B$22</f>
        <v>5400</v>
      </c>
      <c r="T15" s="18" t="n">
        <f aca="false">P15-Q15-R15-S15</f>
        <v>12802.6905204461</v>
      </c>
      <c r="U15" s="18" t="n">
        <f aca="false">U14+T15</f>
        <v>95478.2791118727</v>
      </c>
      <c r="V15" s="18" t="n">
        <f aca="false">L15*Ipotesi!$B$20+IF(A15&gt;Ipotesi!$B$21,INDEX($L$5:$L$40,A15-Ipotesi!$B$21)*(1-Ipotesi!$B$20),0)+M15+N15+O15</f>
        <v>19862.6905204461</v>
      </c>
      <c r="W15" s="18" t="n">
        <f aca="false">V15-Q15-S15</f>
        <v>13842.6905204461</v>
      </c>
      <c r="X15" s="18" t="n">
        <f aca="false">X14+W15</f>
        <v>52449.8776248838</v>
      </c>
      <c r="Y15" s="45" t="n">
        <f aca="false">IF(U15&gt;=0,A15,999)</f>
        <v>11</v>
      </c>
      <c r="Z15" s="20" t="n">
        <f aca="false">F15*SUMPRODUCT((Social!$C$6:$C$11&lt;=A15)*Social!$B$6:$B$11*Social!$I$6:$I$11)</f>
        <v>17.325</v>
      </c>
      <c r="AA15" s="20" t="n">
        <f aca="false">Z15*Ipotesi!$D$50</f>
        <v>7.79625</v>
      </c>
      <c r="AB15" s="20" t="n">
        <f aca="false">AA15*Ipotesi!$D$51</f>
        <v>4.67775</v>
      </c>
      <c r="AC15" s="20" t="n">
        <f aca="false">MIN(AB15,MAX(0,I15-J15))</f>
        <v>0</v>
      </c>
      <c r="AD15" s="18" t="n">
        <f aca="false">AC15*Ipotesi!$B$37+(AA15-AC15)*Ipotesi!$B$19</f>
        <v>779.625</v>
      </c>
      <c r="AE15" s="18" t="n">
        <f aca="false">SUMPRODUCT((Social!$C$6:$C$11&lt;=A15)*Social!$J$6:$J$11)</f>
        <v>920</v>
      </c>
      <c r="AF15" s="18" t="n">
        <f aca="false">SUMPRODUCT((Social!$C$6:$C$11&lt;=A15)*Social!$K$6:$K$11)</f>
        <v>433.333333333333</v>
      </c>
      <c r="AG15" s="18" t="n">
        <f aca="false">AC15*IF(A15&lt;=12,Ipotesi!$B$38,Ipotesi!$B$39)*Ipotesi!$B$22</f>
        <v>0</v>
      </c>
      <c r="AH15" s="18" t="n">
        <f aca="false">AD15-AE15-AF15-AG15</f>
        <v>-573.708333333333</v>
      </c>
      <c r="AI15" s="18" t="n">
        <f aca="false">AI14+AH15</f>
        <v>-3691.82467447917</v>
      </c>
      <c r="AJ15" s="18" t="n">
        <f aca="false">U15+AI15</f>
        <v>91786.4544373936</v>
      </c>
      <c r="AK15" s="18" t="n">
        <f aca="false">AC15*Ipotesi!$B$37*Ipotesi!$B$20+IF(A15&gt;Ipotesi!$B$21,INDEX($AC$5:$AC$40,A15-Ipotesi!$B$21)*Ipotesi!$B$37*(1-Ipotesi!$B$20),0)+(AA15-AC15)*Ipotesi!$B$19</f>
        <v>779.625</v>
      </c>
      <c r="AL15" s="18" t="n">
        <f aca="false">X15+SUM($AK$5:AK15)-SUM($AE$5:AE15)-SUM($AG$5:AG15)</f>
        <v>52484.7196170713</v>
      </c>
      <c r="AM15" s="45" t="n">
        <f aca="false">IF(AJ15&gt;=0,A15,999)</f>
        <v>11</v>
      </c>
    </row>
    <row r="16" customFormat="false" ht="15" hidden="false" customHeight="false" outlineLevel="0" collapsed="false">
      <c r="A16" s="25" t="n">
        <v>12</v>
      </c>
      <c r="B16" s="45" t="n">
        <f aca="false">INT((A16-1)/12)+1</f>
        <v>1</v>
      </c>
      <c r="C16" s="45" t="n">
        <f aca="false">MOD(Ipotesi!$B$7-1+A16-1,12)+1</f>
        <v>10</v>
      </c>
      <c r="D16" s="46" t="n">
        <f aca="false">INDEX(Ipotesi!$B$58:$B$69,C16)</f>
        <v>1.1</v>
      </c>
      <c r="E16" s="45" t="n">
        <f aca="false">Ipotesi!$D$47*MIN(1,(A16/Ipotesi!$B$18)^2)*(1+Ipotesi!$D$48)^(MAX(0,A16-12)/12)*D16</f>
        <v>16500</v>
      </c>
      <c r="F16" s="20" t="n">
        <f aca="false">E16*Ipotesi!$D$49</f>
        <v>57.75</v>
      </c>
      <c r="G16" s="20" t="n">
        <f aca="false">F16*Ipotesi!$D$50</f>
        <v>25.9875</v>
      </c>
      <c r="H16" s="20" t="n">
        <f aca="false">G16*Ipotesi!$D$51</f>
        <v>15.5925</v>
      </c>
      <c r="I16" s="20" t="n">
        <f aca="false">IF(A16&lt;=12,Ipotesi!$B$42,Ipotesi!$B$43)</f>
        <v>8.92193308550186</v>
      </c>
      <c r="J16" s="20" t="n">
        <f aca="false">MIN(H16,I16)</f>
        <v>8.92193308550186</v>
      </c>
      <c r="K16" s="20" t="n">
        <f aca="false">H16-J16</f>
        <v>6.67056691449814</v>
      </c>
      <c r="L16" s="18" t="n">
        <f aca="false">J16*Ipotesi!$B$37</f>
        <v>18156.1338289963</v>
      </c>
      <c r="M16" s="18" t="n">
        <f aca="false">(G16-J16)*Ipotesi!$B$19</f>
        <v>1706.55669144981</v>
      </c>
      <c r="N16" s="18" t="n">
        <f aca="false">IF(A16&gt;=Ipotesi!$B$26,Ipotesi!$D$52*Ipotesi!$B$25/12,0)</f>
        <v>0</v>
      </c>
      <c r="O16" s="18" t="n">
        <f aca="false">IF(A16&gt;=Ipotesi!$B$27,Ipotesi!$D$53,0)</f>
        <v>0</v>
      </c>
      <c r="P16" s="18" t="n">
        <f aca="false">SUM(L16:O16)</f>
        <v>19862.6905204461</v>
      </c>
      <c r="Q16" s="18" t="n">
        <f aca="false">IF(A16=1,Ipotesi!$B$10+Ipotesi!$B$11,0)+Ipotesi!$B$8*Ipotesi!$B$9+Ipotesi!$B$12+Ipotesi!$B$13+Ipotesi!$B$16*52/12*Ipotesi!$B$17</f>
        <v>620</v>
      </c>
      <c r="R16" s="18" t="n">
        <f aca="false">Ipotesi!$B$14*52/12*Ipotesi!$B$15</f>
        <v>1040</v>
      </c>
      <c r="S16" s="18" t="n">
        <f aca="false">J16*IF(A16&lt;=12,Ipotesi!$B$38,Ipotesi!$B$39)*Ipotesi!$B$22</f>
        <v>5400</v>
      </c>
      <c r="T16" s="18" t="n">
        <f aca="false">P16-Q16-R16-S16</f>
        <v>12802.6905204461</v>
      </c>
      <c r="U16" s="18" t="n">
        <f aca="false">U15+T16</f>
        <v>108280.969632319</v>
      </c>
      <c r="V16" s="18" t="n">
        <f aca="false">L16*Ipotesi!$B$20+IF(A16&gt;Ipotesi!$B$21,INDEX($L$5:$L$40,A16-Ipotesi!$B$21)*(1-Ipotesi!$B$20),0)+M16+N16+O16</f>
        <v>19862.6905204461</v>
      </c>
      <c r="W16" s="18" t="n">
        <f aca="false">V16-Q16-S16</f>
        <v>13842.6905204461</v>
      </c>
      <c r="X16" s="18" t="n">
        <f aca="false">X15+W16</f>
        <v>66292.5681453299</v>
      </c>
      <c r="Y16" s="45" t="n">
        <f aca="false">IF(U16&gt;=0,A16,999)</f>
        <v>12</v>
      </c>
      <c r="Z16" s="20" t="n">
        <f aca="false">F16*SUMPRODUCT((Social!$C$6:$C$11&lt;=A16)*Social!$B$6:$B$11*Social!$I$6:$I$11)</f>
        <v>17.325</v>
      </c>
      <c r="AA16" s="20" t="n">
        <f aca="false">Z16*Ipotesi!$D$50</f>
        <v>7.79625</v>
      </c>
      <c r="AB16" s="20" t="n">
        <f aca="false">AA16*Ipotesi!$D$51</f>
        <v>4.67775</v>
      </c>
      <c r="AC16" s="20" t="n">
        <f aca="false">MIN(AB16,MAX(0,I16-J16))</f>
        <v>0</v>
      </c>
      <c r="AD16" s="18" t="n">
        <f aca="false">AC16*Ipotesi!$B$37+(AA16-AC16)*Ipotesi!$B$19</f>
        <v>779.625</v>
      </c>
      <c r="AE16" s="18" t="n">
        <f aca="false">SUMPRODUCT((Social!$C$6:$C$11&lt;=A16)*Social!$J$6:$J$11)</f>
        <v>920</v>
      </c>
      <c r="AF16" s="18" t="n">
        <f aca="false">SUMPRODUCT((Social!$C$6:$C$11&lt;=A16)*Social!$K$6:$K$11)</f>
        <v>433.333333333333</v>
      </c>
      <c r="AG16" s="18" t="n">
        <f aca="false">AC16*IF(A16&lt;=12,Ipotesi!$B$38,Ipotesi!$B$39)*Ipotesi!$B$22</f>
        <v>0</v>
      </c>
      <c r="AH16" s="18" t="n">
        <f aca="false">AD16-AE16-AF16-AG16</f>
        <v>-573.708333333333</v>
      </c>
      <c r="AI16" s="18" t="n">
        <f aca="false">AI15+AH16</f>
        <v>-4265.5330078125</v>
      </c>
      <c r="AJ16" s="18" t="n">
        <f aca="false">U16+AI16</f>
        <v>104015.436624506</v>
      </c>
      <c r="AK16" s="18" t="n">
        <f aca="false">AC16*Ipotesi!$B$37*Ipotesi!$B$20+IF(A16&gt;Ipotesi!$B$21,INDEX($AC$5:$AC$40,A16-Ipotesi!$B$21)*Ipotesi!$B$37*(1-Ipotesi!$B$20),0)+(AA16-AC16)*Ipotesi!$B$19</f>
        <v>779.625</v>
      </c>
      <c r="AL16" s="18" t="n">
        <f aca="false">X16+SUM($AK$5:AK16)-SUM($AE$5:AE16)-SUM($AG$5:AG16)</f>
        <v>66187.0351375174</v>
      </c>
      <c r="AM16" s="45" t="n">
        <f aca="false">IF(AJ16&gt;=0,A16,999)</f>
        <v>12</v>
      </c>
    </row>
    <row r="17" customFormat="false" ht="15" hidden="false" customHeight="false" outlineLevel="0" collapsed="false">
      <c r="A17" s="25" t="n">
        <v>13</v>
      </c>
      <c r="B17" s="45" t="n">
        <f aca="false">INT((A17-1)/12)+1</f>
        <v>2</v>
      </c>
      <c r="C17" s="45" t="n">
        <f aca="false">MOD(Ipotesi!$B$7-1+A17-1,12)+1</f>
        <v>11</v>
      </c>
      <c r="D17" s="46" t="n">
        <f aca="false">INDEX(Ipotesi!$B$58:$B$69,C17)</f>
        <v>1</v>
      </c>
      <c r="E17" s="45" t="n">
        <f aca="false">Ipotesi!$D$47*MIN(1,(A17/Ipotesi!$B$18)^2)*(1+Ipotesi!$D$48)^(MAX(0,A17-12)/12)*D17</f>
        <v>15515.4912469787</v>
      </c>
      <c r="F17" s="20" t="n">
        <f aca="false">E17*Ipotesi!$D$49</f>
        <v>54.3042193644256</v>
      </c>
      <c r="G17" s="20" t="n">
        <f aca="false">F17*Ipotesi!$D$50</f>
        <v>24.4368987139915</v>
      </c>
      <c r="H17" s="20" t="n">
        <f aca="false">G17*Ipotesi!$D$51</f>
        <v>14.6621392283949</v>
      </c>
      <c r="I17" s="20" t="n">
        <f aca="false">IF(A17&lt;=12,Ipotesi!$B$42,Ipotesi!$B$43)</f>
        <v>10.0418410041841</v>
      </c>
      <c r="J17" s="20" t="n">
        <f aca="false">MIN(H17,I17)</f>
        <v>10.0418410041841</v>
      </c>
      <c r="K17" s="20" t="n">
        <f aca="false">H17-J17</f>
        <v>4.62029822421082</v>
      </c>
      <c r="L17" s="18" t="n">
        <f aca="false">J17*Ipotesi!$B$37</f>
        <v>20435.1464435146</v>
      </c>
      <c r="M17" s="18" t="n">
        <f aca="false">(G17-J17)*Ipotesi!$B$19</f>
        <v>1439.50577098074</v>
      </c>
      <c r="N17" s="18" t="n">
        <f aca="false">IF(A17&gt;=Ipotesi!$B$26,Ipotesi!$D$52*Ipotesi!$B$25/12,0)</f>
        <v>1000</v>
      </c>
      <c r="O17" s="18" t="n">
        <f aca="false">IF(A17&gt;=Ipotesi!$B$27,Ipotesi!$D$53,0)</f>
        <v>0</v>
      </c>
      <c r="P17" s="18" t="n">
        <f aca="false">SUM(L17:O17)</f>
        <v>22874.6522144954</v>
      </c>
      <c r="Q17" s="18" t="n">
        <f aca="false">IF(A17=1,Ipotesi!$B$10+Ipotesi!$B$11,0)+Ipotesi!$B$8*Ipotesi!$B$9+Ipotesi!$B$12+Ipotesi!$B$13+Ipotesi!$B$16*52/12*Ipotesi!$B$17</f>
        <v>620</v>
      </c>
      <c r="R17" s="18" t="n">
        <f aca="false">Ipotesi!$B$14*52/12*Ipotesi!$B$15</f>
        <v>1040</v>
      </c>
      <c r="S17" s="18" t="n">
        <f aca="false">J17*IF(A17&lt;=12,Ipotesi!$B$38,Ipotesi!$B$39)*Ipotesi!$B$22</f>
        <v>5400</v>
      </c>
      <c r="T17" s="18" t="n">
        <f aca="false">P17-Q17-R17-S17</f>
        <v>15814.6522144954</v>
      </c>
      <c r="U17" s="18" t="n">
        <f aca="false">U16+T17</f>
        <v>124095.621846814</v>
      </c>
      <c r="V17" s="18" t="n">
        <f aca="false">L17*Ipotesi!$B$20+IF(A17&gt;Ipotesi!$B$21,INDEX($L$5:$L$40,A17-Ipotesi!$B$21)*(1-Ipotesi!$B$20),0)+M17+N17+O17</f>
        <v>21735.1459072362</v>
      </c>
      <c r="W17" s="18" t="n">
        <f aca="false">V17-Q17-S17</f>
        <v>15715.1459072362</v>
      </c>
      <c r="X17" s="18" t="n">
        <f aca="false">X16+W17</f>
        <v>82007.7140525662</v>
      </c>
      <c r="Y17" s="45" t="n">
        <f aca="false">IF(U17&gt;=0,A17,999)</f>
        <v>13</v>
      </c>
      <c r="Z17" s="20" t="n">
        <f aca="false">F17*SUMPRODUCT((Social!$C$6:$C$11&lt;=A17)*Social!$B$6:$B$11*Social!$I$6:$I$11)</f>
        <v>16.2912658093277</v>
      </c>
      <c r="AA17" s="20" t="n">
        <f aca="false">Z17*Ipotesi!$D$50</f>
        <v>7.33106961419746</v>
      </c>
      <c r="AB17" s="20" t="n">
        <f aca="false">AA17*Ipotesi!$D$51</f>
        <v>4.39864176851848</v>
      </c>
      <c r="AC17" s="20" t="n">
        <f aca="false">MIN(AB17,MAX(0,I17-J17))</f>
        <v>0</v>
      </c>
      <c r="AD17" s="18" t="n">
        <f aca="false">AC17*Ipotesi!$B$37+(AA17-AC17)*Ipotesi!$B$19</f>
        <v>733.106961419746</v>
      </c>
      <c r="AE17" s="18" t="n">
        <f aca="false">SUMPRODUCT((Social!$C$6:$C$11&lt;=A17)*Social!$J$6:$J$11)</f>
        <v>920</v>
      </c>
      <c r="AF17" s="18" t="n">
        <f aca="false">SUMPRODUCT((Social!$C$6:$C$11&lt;=A17)*Social!$K$6:$K$11)</f>
        <v>433.333333333333</v>
      </c>
      <c r="AG17" s="18" t="n">
        <f aca="false">AC17*IF(A17&lt;=12,Ipotesi!$B$38,Ipotesi!$B$39)*Ipotesi!$B$22</f>
        <v>0</v>
      </c>
      <c r="AH17" s="18" t="n">
        <f aca="false">AD17-AE17-AF17-AG17</f>
        <v>-620.226371913587</v>
      </c>
      <c r="AI17" s="18" t="n">
        <f aca="false">AI16+AH17</f>
        <v>-4885.75937972609</v>
      </c>
      <c r="AJ17" s="18" t="n">
        <f aca="false">U17+AI17</f>
        <v>119209.862467088</v>
      </c>
      <c r="AK17" s="18" t="n">
        <f aca="false">AC17*Ipotesi!$B$37*Ipotesi!$B$20+IF(A17&gt;Ipotesi!$B$21,INDEX($AC$5:$AC$40,A17-Ipotesi!$B$21)*Ipotesi!$B$37*(1-Ipotesi!$B$20),0)+(AA17-AC17)*Ipotesi!$B$19</f>
        <v>733.106961419746</v>
      </c>
      <c r="AL17" s="18" t="n">
        <f aca="false">X17+SUM($AK$5:AK17)-SUM($AE$5:AE17)-SUM($AG$5:AG17)</f>
        <v>81715.2880061734</v>
      </c>
      <c r="AM17" s="45" t="n">
        <f aca="false">IF(AJ17&gt;=0,A17,999)</f>
        <v>13</v>
      </c>
    </row>
    <row r="18" customFormat="false" ht="15" hidden="false" customHeight="false" outlineLevel="0" collapsed="false">
      <c r="A18" s="25" t="n">
        <v>14</v>
      </c>
      <c r="B18" s="45" t="n">
        <f aca="false">INT((A18-1)/12)+1</f>
        <v>2</v>
      </c>
      <c r="C18" s="45" t="n">
        <f aca="false">MOD(Ipotesi!$B$7-1+A18-1,12)+1</f>
        <v>12</v>
      </c>
      <c r="D18" s="46" t="n">
        <f aca="false">INDEX(Ipotesi!$B$58:$B$69,C18)</f>
        <v>0.8</v>
      </c>
      <c r="E18" s="45" t="n">
        <f aca="false">Ipotesi!$D$47*MIN(1,(A18/Ipotesi!$B$18)^2)*(1+Ipotesi!$D$48)^(MAX(0,A18-12)/12)*D18</f>
        <v>12838.958327204</v>
      </c>
      <c r="F18" s="20" t="n">
        <f aca="false">E18*Ipotesi!$D$49</f>
        <v>44.9363541452139</v>
      </c>
      <c r="G18" s="20" t="n">
        <f aca="false">F18*Ipotesi!$D$50</f>
        <v>20.2213593653462</v>
      </c>
      <c r="H18" s="20" t="n">
        <f aca="false">G18*Ipotesi!$D$51</f>
        <v>12.1328156192077</v>
      </c>
      <c r="I18" s="20" t="n">
        <f aca="false">IF(A18&lt;=12,Ipotesi!$B$42,Ipotesi!$B$43)</f>
        <v>10.0418410041841</v>
      </c>
      <c r="J18" s="20" t="n">
        <f aca="false">MIN(H18,I18)</f>
        <v>10.0418410041841</v>
      </c>
      <c r="K18" s="20" t="n">
        <f aca="false">H18-J18</f>
        <v>2.09097461502364</v>
      </c>
      <c r="L18" s="18" t="n">
        <f aca="false">J18*Ipotesi!$B$37</f>
        <v>20435.1464435146</v>
      </c>
      <c r="M18" s="18" t="n">
        <f aca="false">(G18-J18)*Ipotesi!$B$19</f>
        <v>1017.95183611621</v>
      </c>
      <c r="N18" s="18" t="n">
        <f aca="false">IF(A18&gt;=Ipotesi!$B$26,Ipotesi!$D$52*Ipotesi!$B$25/12,0)</f>
        <v>1000</v>
      </c>
      <c r="O18" s="18" t="n">
        <f aca="false">IF(A18&gt;=Ipotesi!$B$27,Ipotesi!$D$53,0)</f>
        <v>0</v>
      </c>
      <c r="P18" s="18" t="n">
        <f aca="false">SUM(L18:O18)</f>
        <v>22453.0982796309</v>
      </c>
      <c r="Q18" s="18" t="n">
        <f aca="false">IF(A18=1,Ipotesi!$B$10+Ipotesi!$B$11,0)+Ipotesi!$B$8*Ipotesi!$B$9+Ipotesi!$B$12+Ipotesi!$B$13+Ipotesi!$B$16*52/12*Ipotesi!$B$17</f>
        <v>620</v>
      </c>
      <c r="R18" s="18" t="n">
        <f aca="false">Ipotesi!$B$14*52/12*Ipotesi!$B$15</f>
        <v>1040</v>
      </c>
      <c r="S18" s="18" t="n">
        <f aca="false">J18*IF(A18&lt;=12,Ipotesi!$B$38,Ipotesi!$B$39)*Ipotesi!$B$22</f>
        <v>5400</v>
      </c>
      <c r="T18" s="18" t="n">
        <f aca="false">P18-Q18-R18-S18</f>
        <v>15393.0982796309</v>
      </c>
      <c r="U18" s="18" t="n">
        <f aca="false">U17+T18</f>
        <v>139488.720126445</v>
      </c>
      <c r="V18" s="18" t="n">
        <f aca="false">L18*Ipotesi!$B$20+IF(A18&gt;Ipotesi!$B$21,INDEX($L$5:$L$40,A18-Ipotesi!$B$21)*(1-Ipotesi!$B$20),0)+M18+N18+O18</f>
        <v>21313.5919723717</v>
      </c>
      <c r="W18" s="18" t="n">
        <f aca="false">V18-Q18-S18</f>
        <v>15293.5919723717</v>
      </c>
      <c r="X18" s="18" t="n">
        <f aca="false">X17+W18</f>
        <v>97301.3060249378</v>
      </c>
      <c r="Y18" s="45" t="n">
        <f aca="false">IF(U18&gt;=0,A18,999)</f>
        <v>14</v>
      </c>
      <c r="Z18" s="20" t="n">
        <f aca="false">F18*SUMPRODUCT((Social!$C$6:$C$11&lt;=A18)*Social!$B$6:$B$11*Social!$I$6:$I$11)</f>
        <v>13.4809062435642</v>
      </c>
      <c r="AA18" s="20" t="n">
        <f aca="false">Z18*Ipotesi!$D$50</f>
        <v>6.06640780960387</v>
      </c>
      <c r="AB18" s="20" t="n">
        <f aca="false">AA18*Ipotesi!$D$51</f>
        <v>3.63984468576232</v>
      </c>
      <c r="AC18" s="20" t="n">
        <f aca="false">MIN(AB18,MAX(0,I18-J18))</f>
        <v>0</v>
      </c>
      <c r="AD18" s="18" t="n">
        <f aca="false">AC18*Ipotesi!$B$37+(AA18-AC18)*Ipotesi!$B$19</f>
        <v>606.640780960387</v>
      </c>
      <c r="AE18" s="18" t="n">
        <f aca="false">SUMPRODUCT((Social!$C$6:$C$11&lt;=A18)*Social!$J$6:$J$11)</f>
        <v>920</v>
      </c>
      <c r="AF18" s="18" t="n">
        <f aca="false">SUMPRODUCT((Social!$C$6:$C$11&lt;=A18)*Social!$K$6:$K$11)</f>
        <v>433.333333333333</v>
      </c>
      <c r="AG18" s="18" t="n">
        <f aca="false">AC18*IF(A18&lt;=12,Ipotesi!$B$38,Ipotesi!$B$39)*Ipotesi!$B$22</f>
        <v>0</v>
      </c>
      <c r="AH18" s="18" t="n">
        <f aca="false">AD18-AE18-AF18-AG18</f>
        <v>-746.692552372946</v>
      </c>
      <c r="AI18" s="18" t="n">
        <f aca="false">AI17+AH18</f>
        <v>-5632.45193209903</v>
      </c>
      <c r="AJ18" s="18" t="n">
        <f aca="false">U18+AI18</f>
        <v>133856.268194346</v>
      </c>
      <c r="AK18" s="18" t="n">
        <f aca="false">AC18*Ipotesi!$B$37*Ipotesi!$B$20+IF(A18&gt;Ipotesi!$B$21,INDEX($AC$5:$AC$40,A18-Ipotesi!$B$21)*Ipotesi!$B$37*(1-Ipotesi!$B$20),0)+(AA18-AC18)*Ipotesi!$B$19</f>
        <v>606.640780960387</v>
      </c>
      <c r="AL18" s="18" t="n">
        <f aca="false">X18+SUM($AK$5:AK18)-SUM($AE$5:AE18)-SUM($AG$5:AG18)</f>
        <v>96695.5207595055</v>
      </c>
      <c r="AM18" s="45" t="n">
        <f aca="false">IF(AJ18&gt;=0,A18,999)</f>
        <v>14</v>
      </c>
    </row>
    <row r="19" customFormat="false" ht="15" hidden="false" customHeight="false" outlineLevel="0" collapsed="false">
      <c r="A19" s="25" t="n">
        <v>15</v>
      </c>
      <c r="B19" s="45" t="n">
        <f aca="false">INT((A19-1)/12)+1</f>
        <v>2</v>
      </c>
      <c r="C19" s="45" t="n">
        <f aca="false">MOD(Ipotesi!$B$7-1+A19-1,12)+1</f>
        <v>1</v>
      </c>
      <c r="D19" s="46" t="n">
        <f aca="false">INDEX(Ipotesi!$B$58:$B$69,C19)</f>
        <v>0.9</v>
      </c>
      <c r="E19" s="45" t="n">
        <f aca="false">Ipotesi!$D$47*MIN(1,(A19/Ipotesi!$B$18)^2)*(1+Ipotesi!$D$48)^(MAX(0,A19-12)/12)*D19</f>
        <v>14940.2059159543</v>
      </c>
      <c r="F19" s="20" t="n">
        <f aca="false">E19*Ipotesi!$D$49</f>
        <v>52.2907207058402</v>
      </c>
      <c r="G19" s="20" t="n">
        <f aca="false">F19*Ipotesi!$D$50</f>
        <v>23.5308243176281</v>
      </c>
      <c r="H19" s="20" t="n">
        <f aca="false">G19*Ipotesi!$D$51</f>
        <v>14.1184945905769</v>
      </c>
      <c r="I19" s="20" t="n">
        <f aca="false">IF(A19&lt;=12,Ipotesi!$B$42,Ipotesi!$B$43)</f>
        <v>10.0418410041841</v>
      </c>
      <c r="J19" s="20" t="n">
        <f aca="false">MIN(H19,I19)</f>
        <v>10.0418410041841</v>
      </c>
      <c r="K19" s="20" t="n">
        <f aca="false">H19-J19</f>
        <v>4.07665358639275</v>
      </c>
      <c r="L19" s="18" t="n">
        <f aca="false">J19*Ipotesi!$B$37</f>
        <v>20435.1464435146</v>
      </c>
      <c r="M19" s="18" t="n">
        <f aca="false">(G19-J19)*Ipotesi!$B$19</f>
        <v>1348.8983313444</v>
      </c>
      <c r="N19" s="18" t="n">
        <f aca="false">IF(A19&gt;=Ipotesi!$B$26,Ipotesi!$D$52*Ipotesi!$B$25/12,0)</f>
        <v>1000</v>
      </c>
      <c r="O19" s="18" t="n">
        <f aca="false">IF(A19&gt;=Ipotesi!$B$27,Ipotesi!$D$53,0)</f>
        <v>0</v>
      </c>
      <c r="P19" s="18" t="n">
        <f aca="false">SUM(L19:O19)</f>
        <v>22784.044774859</v>
      </c>
      <c r="Q19" s="18" t="n">
        <f aca="false">IF(A19=1,Ipotesi!$B$10+Ipotesi!$B$11,0)+Ipotesi!$B$8*Ipotesi!$B$9+Ipotesi!$B$12+Ipotesi!$B$13+Ipotesi!$B$16*52/12*Ipotesi!$B$17</f>
        <v>620</v>
      </c>
      <c r="R19" s="18" t="n">
        <f aca="false">Ipotesi!$B$14*52/12*Ipotesi!$B$15</f>
        <v>1040</v>
      </c>
      <c r="S19" s="18" t="n">
        <f aca="false">J19*IF(A19&lt;=12,Ipotesi!$B$38,Ipotesi!$B$39)*Ipotesi!$B$22</f>
        <v>5400</v>
      </c>
      <c r="T19" s="18" t="n">
        <f aca="false">P19-Q19-R19-S19</f>
        <v>15724.044774859</v>
      </c>
      <c r="U19" s="18" t="n">
        <f aca="false">U18+T19</f>
        <v>155212.764901304</v>
      </c>
      <c r="V19" s="18" t="n">
        <f aca="false">L19*Ipotesi!$B$20+IF(A19&gt;Ipotesi!$B$21,INDEX($L$5:$L$40,A19-Ipotesi!$B$21)*(1-Ipotesi!$B$20),0)+M19+N19+O19</f>
        <v>21644.5384675999</v>
      </c>
      <c r="W19" s="18" t="n">
        <f aca="false">V19-Q19-S19</f>
        <v>15624.5384675999</v>
      </c>
      <c r="X19" s="18" t="n">
        <f aca="false">X18+W19</f>
        <v>112925.844492538</v>
      </c>
      <c r="Y19" s="45" t="n">
        <f aca="false">IF(U19&gt;=0,A19,999)</f>
        <v>15</v>
      </c>
      <c r="Z19" s="20" t="n">
        <f aca="false">F19*SUMPRODUCT((Social!$C$6:$C$11&lt;=A19)*Social!$B$6:$B$11*Social!$I$6:$I$11)</f>
        <v>15.6872162117521</v>
      </c>
      <c r="AA19" s="20" t="n">
        <f aca="false">Z19*Ipotesi!$D$50</f>
        <v>7.05924729528843</v>
      </c>
      <c r="AB19" s="20" t="n">
        <f aca="false">AA19*Ipotesi!$D$51</f>
        <v>4.23554837717306</v>
      </c>
      <c r="AC19" s="20" t="n">
        <f aca="false">MIN(AB19,MAX(0,I19-J19))</f>
        <v>0</v>
      </c>
      <c r="AD19" s="18" t="n">
        <f aca="false">AC19*Ipotesi!$B$37+(AA19-AC19)*Ipotesi!$B$19</f>
        <v>705.924729528843</v>
      </c>
      <c r="AE19" s="18" t="n">
        <f aca="false">SUMPRODUCT((Social!$C$6:$C$11&lt;=A19)*Social!$J$6:$J$11)</f>
        <v>920</v>
      </c>
      <c r="AF19" s="18" t="n">
        <f aca="false">SUMPRODUCT((Social!$C$6:$C$11&lt;=A19)*Social!$K$6:$K$11)</f>
        <v>433.333333333333</v>
      </c>
      <c r="AG19" s="18" t="n">
        <f aca="false">AC19*IF(A19&lt;=12,Ipotesi!$B$38,Ipotesi!$B$39)*Ipotesi!$B$22</f>
        <v>0</v>
      </c>
      <c r="AH19" s="18" t="n">
        <f aca="false">AD19-AE19-AF19-AG19</f>
        <v>-647.408603804491</v>
      </c>
      <c r="AI19" s="18" t="n">
        <f aca="false">AI18+AH19</f>
        <v>-6279.86053590352</v>
      </c>
      <c r="AJ19" s="18" t="n">
        <f aca="false">U19+AI19</f>
        <v>148932.904365401</v>
      </c>
      <c r="AK19" s="18" t="n">
        <f aca="false">AC19*Ipotesi!$B$37*Ipotesi!$B$20+IF(A19&gt;Ipotesi!$B$21,INDEX($AC$5:$AC$40,A19-Ipotesi!$B$21)*Ipotesi!$B$37*(1-Ipotesi!$B$20),0)+(AA19-AC19)*Ipotesi!$B$19</f>
        <v>705.924729528843</v>
      </c>
      <c r="AL19" s="18" t="n">
        <f aca="false">X19+SUM($AK$5:AK19)-SUM($AE$5:AE19)-SUM($AG$5:AG19)</f>
        <v>112105.983956634</v>
      </c>
      <c r="AM19" s="45" t="n">
        <f aca="false">IF(AJ19&gt;=0,A19,999)</f>
        <v>15</v>
      </c>
    </row>
    <row r="20" customFormat="false" ht="15" hidden="false" customHeight="false" outlineLevel="0" collapsed="false">
      <c r="A20" s="25" t="n">
        <v>16</v>
      </c>
      <c r="B20" s="45" t="n">
        <f aca="false">INT((A20-1)/12)+1</f>
        <v>2</v>
      </c>
      <c r="C20" s="45" t="n">
        <f aca="false">MOD(Ipotesi!$B$7-1+A20-1,12)+1</f>
        <v>2</v>
      </c>
      <c r="D20" s="46" t="n">
        <f aca="false">INDEX(Ipotesi!$B$58:$B$69,C20)</f>
        <v>1</v>
      </c>
      <c r="E20" s="45" t="n">
        <f aca="false">Ipotesi!$D$47*MIN(1,(A20/Ipotesi!$B$18)^2)*(1+Ipotesi!$D$48)^(MAX(0,A20-12)/12)*D20</f>
        <v>17170.7136383</v>
      </c>
      <c r="F20" s="20" t="n">
        <f aca="false">E20*Ipotesi!$D$49</f>
        <v>60.0974977340499</v>
      </c>
      <c r="G20" s="20" t="n">
        <f aca="false">F20*Ipotesi!$D$50</f>
        <v>27.0438739803225</v>
      </c>
      <c r="H20" s="20" t="n">
        <f aca="false">G20*Ipotesi!$D$51</f>
        <v>16.2263243881935</v>
      </c>
      <c r="I20" s="20" t="n">
        <f aca="false">IF(A20&lt;=12,Ipotesi!$B$42,Ipotesi!$B$43)</f>
        <v>10.0418410041841</v>
      </c>
      <c r="J20" s="20" t="n">
        <f aca="false">MIN(H20,I20)</f>
        <v>10.0418410041841</v>
      </c>
      <c r="K20" s="20" t="n">
        <f aca="false">H20-J20</f>
        <v>6.18448338400938</v>
      </c>
      <c r="L20" s="18" t="n">
        <f aca="false">J20*Ipotesi!$B$37</f>
        <v>20435.1464435146</v>
      </c>
      <c r="M20" s="18" t="n">
        <f aca="false">(G20-J20)*Ipotesi!$B$19</f>
        <v>1700.20329761384</v>
      </c>
      <c r="N20" s="18" t="n">
        <f aca="false">IF(A20&gt;=Ipotesi!$B$26,Ipotesi!$D$52*Ipotesi!$B$25/12,0)</f>
        <v>1000</v>
      </c>
      <c r="O20" s="18" t="n">
        <f aca="false">IF(A20&gt;=Ipotesi!$B$27,Ipotesi!$D$53,0)</f>
        <v>0</v>
      </c>
      <c r="P20" s="18" t="n">
        <f aca="false">SUM(L20:O20)</f>
        <v>23135.3497411285</v>
      </c>
      <c r="Q20" s="18" t="n">
        <f aca="false">IF(A20=1,Ipotesi!$B$10+Ipotesi!$B$11,0)+Ipotesi!$B$8*Ipotesi!$B$9+Ipotesi!$B$12+Ipotesi!$B$13+Ipotesi!$B$16*52/12*Ipotesi!$B$17</f>
        <v>620</v>
      </c>
      <c r="R20" s="18" t="n">
        <f aca="false">Ipotesi!$B$14*52/12*Ipotesi!$B$15</f>
        <v>1040</v>
      </c>
      <c r="S20" s="18" t="n">
        <f aca="false">J20*IF(A20&lt;=12,Ipotesi!$B$38,Ipotesi!$B$39)*Ipotesi!$B$22</f>
        <v>5400</v>
      </c>
      <c r="T20" s="18" t="n">
        <f aca="false">P20-Q20-R20-S20</f>
        <v>16075.3497411285</v>
      </c>
      <c r="U20" s="18" t="n">
        <f aca="false">U19+T20</f>
        <v>171288.114642433</v>
      </c>
      <c r="V20" s="18" t="n">
        <f aca="false">L20*Ipotesi!$B$20+IF(A20&gt;Ipotesi!$B$21,INDEX($L$5:$L$40,A20-Ipotesi!$B$21)*(1-Ipotesi!$B$20),0)+M20+N20+O20</f>
        <v>21995.8434338693</v>
      </c>
      <c r="W20" s="18" t="n">
        <f aca="false">V20-Q20-S20</f>
        <v>15975.8434338693</v>
      </c>
      <c r="X20" s="18" t="n">
        <f aca="false">X19+W20</f>
        <v>128901.687926407</v>
      </c>
      <c r="Y20" s="45" t="n">
        <f aca="false">IF(U20&gt;=0,A20,999)</f>
        <v>16</v>
      </c>
      <c r="Z20" s="20" t="n">
        <f aca="false">F20*SUMPRODUCT((Social!$C$6:$C$11&lt;=A20)*Social!$B$6:$B$11*Social!$I$6:$I$11)</f>
        <v>18.029249320215</v>
      </c>
      <c r="AA20" s="20" t="n">
        <f aca="false">Z20*Ipotesi!$D$50</f>
        <v>8.11316219409674</v>
      </c>
      <c r="AB20" s="20" t="n">
        <f aca="false">AA20*Ipotesi!$D$51</f>
        <v>4.86789731645804</v>
      </c>
      <c r="AC20" s="20" t="n">
        <f aca="false">MIN(AB20,MAX(0,I20-J20))</f>
        <v>0</v>
      </c>
      <c r="AD20" s="18" t="n">
        <f aca="false">AC20*Ipotesi!$B$37+(AA20-AC20)*Ipotesi!$B$19</f>
        <v>811.316219409674</v>
      </c>
      <c r="AE20" s="18" t="n">
        <f aca="false">SUMPRODUCT((Social!$C$6:$C$11&lt;=A20)*Social!$J$6:$J$11)</f>
        <v>920</v>
      </c>
      <c r="AF20" s="18" t="n">
        <f aca="false">SUMPRODUCT((Social!$C$6:$C$11&lt;=A20)*Social!$K$6:$K$11)</f>
        <v>433.333333333333</v>
      </c>
      <c r="AG20" s="18" t="n">
        <f aca="false">AC20*IF(A20&lt;=12,Ipotesi!$B$38,Ipotesi!$B$39)*Ipotesi!$B$22</f>
        <v>0</v>
      </c>
      <c r="AH20" s="18" t="n">
        <f aca="false">AD20-AE20-AF20-AG20</f>
        <v>-542.017113923659</v>
      </c>
      <c r="AI20" s="18" t="n">
        <f aca="false">AI19+AH20</f>
        <v>-6821.87764982718</v>
      </c>
      <c r="AJ20" s="18" t="n">
        <f aca="false">U20+AI20</f>
        <v>164466.236992605</v>
      </c>
      <c r="AK20" s="18" t="n">
        <f aca="false">AC20*Ipotesi!$B$37*Ipotesi!$B$20+IF(A20&gt;Ipotesi!$B$21,INDEX($AC$5:$AC$40,A20-Ipotesi!$B$21)*Ipotesi!$B$37*(1-Ipotesi!$B$20),0)+(AA20-AC20)*Ipotesi!$B$19</f>
        <v>811.316219409674</v>
      </c>
      <c r="AL20" s="18" t="n">
        <f aca="false">X20+SUM($AK$5:AK20)-SUM($AE$5:AE20)-SUM($AG$5:AG20)</f>
        <v>127973.143609913</v>
      </c>
      <c r="AM20" s="45" t="n">
        <f aca="false">IF(AJ20&gt;=0,A20,999)</f>
        <v>16</v>
      </c>
    </row>
    <row r="21" customFormat="false" ht="15" hidden="false" customHeight="false" outlineLevel="0" collapsed="false">
      <c r="A21" s="25" t="n">
        <v>17</v>
      </c>
      <c r="B21" s="45" t="n">
        <f aca="false">INT((A21-1)/12)+1</f>
        <v>2</v>
      </c>
      <c r="C21" s="45" t="n">
        <f aca="false">MOD(Ipotesi!$B$7-1+A21-1,12)+1</f>
        <v>3</v>
      </c>
      <c r="D21" s="46" t="n">
        <f aca="false">INDEX(Ipotesi!$B$58:$B$69,C21)</f>
        <v>1.1</v>
      </c>
      <c r="E21" s="45" t="n">
        <f aca="false">Ipotesi!$D$47*MIN(1,(A21/Ipotesi!$B$18)^2)*(1+Ipotesi!$D$48)^(MAX(0,A21-12)/12)*D21</f>
        <v>19536.8841916909</v>
      </c>
      <c r="F21" s="20" t="n">
        <f aca="false">E21*Ipotesi!$D$49</f>
        <v>68.3790946709183</v>
      </c>
      <c r="G21" s="20" t="n">
        <f aca="false">F21*Ipotesi!$D$50</f>
        <v>30.7705926019132</v>
      </c>
      <c r="H21" s="20" t="n">
        <f aca="false">G21*Ipotesi!$D$51</f>
        <v>18.4623555611479</v>
      </c>
      <c r="I21" s="20" t="n">
        <f aca="false">IF(A21&lt;=12,Ipotesi!$B$42,Ipotesi!$B$43)</f>
        <v>10.0418410041841</v>
      </c>
      <c r="J21" s="20" t="n">
        <f aca="false">MIN(H21,I21)</f>
        <v>10.0418410041841</v>
      </c>
      <c r="K21" s="20" t="n">
        <f aca="false">H21-J21</f>
        <v>8.42051455696384</v>
      </c>
      <c r="L21" s="18" t="n">
        <f aca="false">J21*Ipotesi!$B$37</f>
        <v>20435.1464435146</v>
      </c>
      <c r="M21" s="18" t="n">
        <f aca="false">(G21-J21)*Ipotesi!$B$19</f>
        <v>2072.87515977291</v>
      </c>
      <c r="N21" s="18" t="n">
        <f aca="false">IF(A21&gt;=Ipotesi!$B$26,Ipotesi!$D$52*Ipotesi!$B$25/12,0)</f>
        <v>1000</v>
      </c>
      <c r="O21" s="18" t="n">
        <f aca="false">IF(A21&gt;=Ipotesi!$B$27,Ipotesi!$D$53,0)</f>
        <v>0</v>
      </c>
      <c r="P21" s="18" t="n">
        <f aca="false">SUM(L21:O21)</f>
        <v>23508.0216032876</v>
      </c>
      <c r="Q21" s="18" t="n">
        <f aca="false">IF(A21=1,Ipotesi!$B$10+Ipotesi!$B$11,0)+Ipotesi!$B$8*Ipotesi!$B$9+Ipotesi!$B$12+Ipotesi!$B$13+Ipotesi!$B$16*52/12*Ipotesi!$B$17</f>
        <v>620</v>
      </c>
      <c r="R21" s="18" t="n">
        <f aca="false">Ipotesi!$B$14*52/12*Ipotesi!$B$15</f>
        <v>1040</v>
      </c>
      <c r="S21" s="18" t="n">
        <f aca="false">J21*IF(A21&lt;=12,Ipotesi!$B$38,Ipotesi!$B$39)*Ipotesi!$B$22</f>
        <v>5400</v>
      </c>
      <c r="T21" s="18" t="n">
        <f aca="false">P21-Q21-R21-S21</f>
        <v>16448.0216032876</v>
      </c>
      <c r="U21" s="18" t="n">
        <f aca="false">U20+T21</f>
        <v>187736.13624572</v>
      </c>
      <c r="V21" s="18" t="n">
        <f aca="false">L21*Ipotesi!$B$20+IF(A21&gt;Ipotesi!$B$21,INDEX($L$5:$L$40,A21-Ipotesi!$B$21)*(1-Ipotesi!$B$20),0)+M21+N21+O21</f>
        <v>22368.5152960284</v>
      </c>
      <c r="W21" s="18" t="n">
        <f aca="false">V21-Q21-S21</f>
        <v>16348.5152960284</v>
      </c>
      <c r="X21" s="18" t="n">
        <f aca="false">X20+W21</f>
        <v>145250.203222435</v>
      </c>
      <c r="Y21" s="45" t="n">
        <f aca="false">IF(U21&gt;=0,A21,999)</f>
        <v>17</v>
      </c>
      <c r="Z21" s="20" t="n">
        <f aca="false">F21*SUMPRODUCT((Social!$C$6:$C$11&lt;=A21)*Social!$B$6:$B$11*Social!$I$6:$I$11)</f>
        <v>20.5137284012755</v>
      </c>
      <c r="AA21" s="20" t="n">
        <f aca="false">Z21*Ipotesi!$D$50</f>
        <v>9.23117778057397</v>
      </c>
      <c r="AB21" s="20" t="n">
        <f aca="false">AA21*Ipotesi!$D$51</f>
        <v>5.53870666834438</v>
      </c>
      <c r="AC21" s="20" t="n">
        <f aca="false">MIN(AB21,MAX(0,I21-J21))</f>
        <v>0</v>
      </c>
      <c r="AD21" s="18" t="n">
        <f aca="false">AC21*Ipotesi!$B$37+(AA21-AC21)*Ipotesi!$B$19</f>
        <v>923.117778057397</v>
      </c>
      <c r="AE21" s="18" t="n">
        <f aca="false">SUMPRODUCT((Social!$C$6:$C$11&lt;=A21)*Social!$J$6:$J$11)</f>
        <v>920</v>
      </c>
      <c r="AF21" s="18" t="n">
        <f aca="false">SUMPRODUCT((Social!$C$6:$C$11&lt;=A21)*Social!$K$6:$K$11)</f>
        <v>433.333333333333</v>
      </c>
      <c r="AG21" s="18" t="n">
        <f aca="false">AC21*IF(A21&lt;=12,Ipotesi!$B$38,Ipotesi!$B$39)*Ipotesi!$B$22</f>
        <v>0</v>
      </c>
      <c r="AH21" s="18" t="n">
        <f aca="false">AD21-AE21-AF21-AG21</f>
        <v>-430.215555275936</v>
      </c>
      <c r="AI21" s="18" t="n">
        <f aca="false">AI20+AH21</f>
        <v>-7252.09320510312</v>
      </c>
      <c r="AJ21" s="18" t="n">
        <f aca="false">U21+AI21</f>
        <v>180484.043040617</v>
      </c>
      <c r="AK21" s="18" t="n">
        <f aca="false">AC21*Ipotesi!$B$37*Ipotesi!$B$20+IF(A21&gt;Ipotesi!$B$21,INDEX($AC$5:$AC$40,A21-Ipotesi!$B$21)*Ipotesi!$B$37*(1-Ipotesi!$B$20),0)+(AA21-AC21)*Ipotesi!$B$19</f>
        <v>923.117778057397</v>
      </c>
      <c r="AL21" s="18" t="n">
        <f aca="false">X21+SUM($AK$5:AK21)-SUM($AE$5:AE21)-SUM($AG$5:AG21)</f>
        <v>144324.776683999</v>
      </c>
      <c r="AM21" s="45" t="n">
        <f aca="false">IF(AJ21&gt;=0,A21,999)</f>
        <v>17</v>
      </c>
    </row>
    <row r="22" customFormat="false" ht="15" hidden="false" customHeight="false" outlineLevel="0" collapsed="false">
      <c r="A22" s="25" t="n">
        <v>18</v>
      </c>
      <c r="B22" s="45" t="n">
        <f aca="false">INT((A22-1)/12)+1</f>
        <v>2</v>
      </c>
      <c r="C22" s="45" t="n">
        <f aca="false">MOD(Ipotesi!$B$7-1+A22-1,12)+1</f>
        <v>4</v>
      </c>
      <c r="D22" s="46" t="n">
        <f aca="false">INDEX(Ipotesi!$B$58:$B$69,C22)</f>
        <v>1.2</v>
      </c>
      <c r="E22" s="45" t="n">
        <f aca="false">Ipotesi!$D$47*MIN(1,(A22/Ipotesi!$B$18)^2)*(1+Ipotesi!$D$48)^(MAX(0,A22-12)/12)*D22</f>
        <v>22045.4076850486</v>
      </c>
      <c r="F22" s="20" t="n">
        <f aca="false">E22*Ipotesi!$D$49</f>
        <v>77.1589268976701</v>
      </c>
      <c r="G22" s="20" t="n">
        <f aca="false">F22*Ipotesi!$D$50</f>
        <v>34.7215171039516</v>
      </c>
      <c r="H22" s="20" t="n">
        <f aca="false">G22*Ipotesi!$D$51</f>
        <v>20.8329102623709</v>
      </c>
      <c r="I22" s="20" t="n">
        <f aca="false">IF(A22&lt;=12,Ipotesi!$B$42,Ipotesi!$B$43)</f>
        <v>10.0418410041841</v>
      </c>
      <c r="J22" s="20" t="n">
        <f aca="false">MIN(H22,I22)</f>
        <v>10.0418410041841</v>
      </c>
      <c r="K22" s="20" t="n">
        <f aca="false">H22-J22</f>
        <v>10.7910692581868</v>
      </c>
      <c r="L22" s="18" t="n">
        <f aca="false">J22*Ipotesi!$B$37</f>
        <v>20435.1464435146</v>
      </c>
      <c r="M22" s="18" t="n">
        <f aca="false">(G22-J22)*Ipotesi!$B$19</f>
        <v>2467.96760997675</v>
      </c>
      <c r="N22" s="18" t="n">
        <f aca="false">IF(A22&gt;=Ipotesi!$B$26,Ipotesi!$D$52*Ipotesi!$B$25/12,0)</f>
        <v>1000</v>
      </c>
      <c r="O22" s="18" t="n">
        <f aca="false">IF(A22&gt;=Ipotesi!$B$27,Ipotesi!$D$53,0)</f>
        <v>0</v>
      </c>
      <c r="P22" s="18" t="n">
        <f aca="false">SUM(L22:O22)</f>
        <v>23903.1140534914</v>
      </c>
      <c r="Q22" s="18" t="n">
        <f aca="false">IF(A22=1,Ipotesi!$B$10+Ipotesi!$B$11,0)+Ipotesi!$B$8*Ipotesi!$B$9+Ipotesi!$B$12+Ipotesi!$B$13+Ipotesi!$B$16*52/12*Ipotesi!$B$17</f>
        <v>620</v>
      </c>
      <c r="R22" s="18" t="n">
        <f aca="false">Ipotesi!$B$14*52/12*Ipotesi!$B$15</f>
        <v>1040</v>
      </c>
      <c r="S22" s="18" t="n">
        <f aca="false">J22*IF(A22&lt;=12,Ipotesi!$B$38,Ipotesi!$B$39)*Ipotesi!$B$22</f>
        <v>5400</v>
      </c>
      <c r="T22" s="18" t="n">
        <f aca="false">P22-Q22-R22-S22</f>
        <v>16843.1140534914</v>
      </c>
      <c r="U22" s="18" t="n">
        <f aca="false">U21+T22</f>
        <v>204579.250299212</v>
      </c>
      <c r="V22" s="18" t="n">
        <f aca="false">L22*Ipotesi!$B$20+IF(A22&gt;Ipotesi!$B$21,INDEX($L$5:$L$40,A22-Ipotesi!$B$21)*(1-Ipotesi!$B$20),0)+M22+N22+O22</f>
        <v>22763.6077462322</v>
      </c>
      <c r="W22" s="18" t="n">
        <f aca="false">V22-Q22-S22</f>
        <v>16743.6077462322</v>
      </c>
      <c r="X22" s="18" t="n">
        <f aca="false">X21+W22</f>
        <v>161993.810968668</v>
      </c>
      <c r="Y22" s="45" t="n">
        <f aca="false">IF(U22&gt;=0,A22,999)</f>
        <v>18</v>
      </c>
      <c r="Z22" s="20" t="n">
        <f aca="false">F22*SUMPRODUCT((Social!$C$6:$C$11&lt;=A22)*Social!$B$6:$B$11*Social!$I$6:$I$11)</f>
        <v>23.147678069301</v>
      </c>
      <c r="AA22" s="20" t="n">
        <f aca="false">Z22*Ipotesi!$D$50</f>
        <v>10.4164551311855</v>
      </c>
      <c r="AB22" s="20" t="n">
        <f aca="false">AA22*Ipotesi!$D$51</f>
        <v>6.24987307871128</v>
      </c>
      <c r="AC22" s="20" t="n">
        <f aca="false">MIN(AB22,MAX(0,I22-J22))</f>
        <v>0</v>
      </c>
      <c r="AD22" s="18" t="n">
        <f aca="false">AC22*Ipotesi!$B$37+(AA22-AC22)*Ipotesi!$B$19</f>
        <v>1041.64551311855</v>
      </c>
      <c r="AE22" s="18" t="n">
        <f aca="false">SUMPRODUCT((Social!$C$6:$C$11&lt;=A22)*Social!$J$6:$J$11)</f>
        <v>920</v>
      </c>
      <c r="AF22" s="18" t="n">
        <f aca="false">SUMPRODUCT((Social!$C$6:$C$11&lt;=A22)*Social!$K$6:$K$11)</f>
        <v>433.333333333333</v>
      </c>
      <c r="AG22" s="18" t="n">
        <f aca="false">AC22*IF(A22&lt;=12,Ipotesi!$B$38,Ipotesi!$B$39)*Ipotesi!$B$22</f>
        <v>0</v>
      </c>
      <c r="AH22" s="18" t="n">
        <f aca="false">AD22-AE22-AF22-AG22</f>
        <v>-311.687820214787</v>
      </c>
      <c r="AI22" s="18" t="n">
        <f aca="false">AI21+AH22</f>
        <v>-7563.78102531791</v>
      </c>
      <c r="AJ22" s="18" t="n">
        <f aca="false">U22+AI22</f>
        <v>197015.469273894</v>
      </c>
      <c r="AK22" s="18" t="n">
        <f aca="false">AC22*Ipotesi!$B$37*Ipotesi!$B$20+IF(A22&gt;Ipotesi!$B$21,INDEX($AC$5:$AC$40,A22-Ipotesi!$B$21)*Ipotesi!$B$37*(1-Ipotesi!$B$20),0)+(AA22-AC22)*Ipotesi!$B$19</f>
        <v>1041.64551311855</v>
      </c>
      <c r="AL22" s="18" t="n">
        <f aca="false">X22+SUM($AK$5:AK22)-SUM($AE$5:AE22)-SUM($AG$5:AG22)</f>
        <v>161190.02994335</v>
      </c>
      <c r="AM22" s="45" t="n">
        <f aca="false">IF(AJ22&gt;=0,A22,999)</f>
        <v>18</v>
      </c>
    </row>
    <row r="23" customFormat="false" ht="15" hidden="false" customHeight="false" outlineLevel="0" collapsed="false">
      <c r="A23" s="25" t="n">
        <v>19</v>
      </c>
      <c r="B23" s="45" t="n">
        <f aca="false">INT((A23-1)/12)+1</f>
        <v>2</v>
      </c>
      <c r="C23" s="45" t="n">
        <f aca="false">MOD(Ipotesi!$B$7-1+A23-1,12)+1</f>
        <v>5</v>
      </c>
      <c r="D23" s="46" t="n">
        <f aca="false">INDEX(Ipotesi!$B$58:$B$69,C23)</f>
        <v>1.1</v>
      </c>
      <c r="E23" s="45" t="n">
        <f aca="false">Ipotesi!$D$47*MIN(1,(A23/Ipotesi!$B$18)^2)*(1+Ipotesi!$D$48)^(MAX(0,A23-12)/12)*D23</f>
        <v>20902.7701650442</v>
      </c>
      <c r="F23" s="20" t="n">
        <f aca="false">E23*Ipotesi!$D$49</f>
        <v>73.1596955776545</v>
      </c>
      <c r="G23" s="20" t="n">
        <f aca="false">F23*Ipotesi!$D$50</f>
        <v>32.9218630099445</v>
      </c>
      <c r="H23" s="20" t="n">
        <f aca="false">G23*Ipotesi!$D$51</f>
        <v>19.7531178059667</v>
      </c>
      <c r="I23" s="20" t="n">
        <f aca="false">IF(A23&lt;=12,Ipotesi!$B$42,Ipotesi!$B$43)</f>
        <v>10.0418410041841</v>
      </c>
      <c r="J23" s="20" t="n">
        <f aca="false">MIN(H23,I23)</f>
        <v>10.0418410041841</v>
      </c>
      <c r="K23" s="20" t="n">
        <f aca="false">H23-J23</f>
        <v>9.71127680178262</v>
      </c>
      <c r="L23" s="18" t="n">
        <f aca="false">J23*Ipotesi!$B$37</f>
        <v>20435.1464435146</v>
      </c>
      <c r="M23" s="18" t="n">
        <f aca="false">(G23-J23)*Ipotesi!$B$19</f>
        <v>2288.00220057604</v>
      </c>
      <c r="N23" s="18" t="n">
        <f aca="false">IF(A23&gt;=Ipotesi!$B$26,Ipotesi!$D$52*Ipotesi!$B$25/12,0)</f>
        <v>1000</v>
      </c>
      <c r="O23" s="18" t="n">
        <f aca="false">IF(A23&gt;=Ipotesi!$B$27,Ipotesi!$D$53,0)</f>
        <v>0</v>
      </c>
      <c r="P23" s="18" t="n">
        <f aca="false">SUM(L23:O23)</f>
        <v>23723.1486440907</v>
      </c>
      <c r="Q23" s="18" t="n">
        <f aca="false">IF(A23=1,Ipotesi!$B$10+Ipotesi!$B$11,0)+Ipotesi!$B$8*Ipotesi!$B$9+Ipotesi!$B$12+Ipotesi!$B$13+Ipotesi!$B$16*52/12*Ipotesi!$B$17</f>
        <v>620</v>
      </c>
      <c r="R23" s="18" t="n">
        <f aca="false">Ipotesi!$B$14*52/12*Ipotesi!$B$15</f>
        <v>1040</v>
      </c>
      <c r="S23" s="18" t="n">
        <f aca="false">J23*IF(A23&lt;=12,Ipotesi!$B$38,Ipotesi!$B$39)*Ipotesi!$B$22</f>
        <v>5400</v>
      </c>
      <c r="T23" s="18" t="n">
        <f aca="false">P23-Q23-R23-S23</f>
        <v>16663.1486440907</v>
      </c>
      <c r="U23" s="18" t="n">
        <f aca="false">U22+T23</f>
        <v>221242.398943302</v>
      </c>
      <c r="V23" s="18" t="n">
        <f aca="false">L23*Ipotesi!$B$20+IF(A23&gt;Ipotesi!$B$21,INDEX($L$5:$L$40,A23-Ipotesi!$B$21)*(1-Ipotesi!$B$20),0)+M23+N23+O23</f>
        <v>23723.1486440907</v>
      </c>
      <c r="W23" s="18" t="n">
        <f aca="false">V23-Q23-S23</f>
        <v>17703.1486440907</v>
      </c>
      <c r="X23" s="18" t="n">
        <f aca="false">X22+W23</f>
        <v>179696.959612758</v>
      </c>
      <c r="Y23" s="45" t="n">
        <f aca="false">IF(U23&gt;=0,A23,999)</f>
        <v>19</v>
      </c>
      <c r="Z23" s="20" t="n">
        <f aca="false">F23*SUMPRODUCT((Social!$C$6:$C$11&lt;=A23)*Social!$B$6:$B$11*Social!$I$6:$I$11)</f>
        <v>21.9479086732964</v>
      </c>
      <c r="AA23" s="20" t="n">
        <f aca="false">Z23*Ipotesi!$D$50</f>
        <v>9.87655890298336</v>
      </c>
      <c r="AB23" s="20" t="n">
        <f aca="false">AA23*Ipotesi!$D$51</f>
        <v>5.92593534179002</v>
      </c>
      <c r="AC23" s="20" t="n">
        <f aca="false">MIN(AB23,MAX(0,I23-J23))</f>
        <v>0</v>
      </c>
      <c r="AD23" s="18" t="n">
        <f aca="false">AC23*Ipotesi!$B$37+(AA23-AC23)*Ipotesi!$B$19</f>
        <v>987.655890298336</v>
      </c>
      <c r="AE23" s="18" t="n">
        <f aca="false">SUMPRODUCT((Social!$C$6:$C$11&lt;=A23)*Social!$J$6:$J$11)</f>
        <v>920</v>
      </c>
      <c r="AF23" s="18" t="n">
        <f aca="false">SUMPRODUCT((Social!$C$6:$C$11&lt;=A23)*Social!$K$6:$K$11)</f>
        <v>433.333333333333</v>
      </c>
      <c r="AG23" s="18" t="n">
        <f aca="false">AC23*IF(A23&lt;=12,Ipotesi!$B$38,Ipotesi!$B$39)*Ipotesi!$B$22</f>
        <v>0</v>
      </c>
      <c r="AH23" s="18" t="n">
        <f aca="false">AD23-AE23-AF23-AG23</f>
        <v>-365.677443034997</v>
      </c>
      <c r="AI23" s="18" t="n">
        <f aca="false">AI22+AH23</f>
        <v>-7929.4584683529</v>
      </c>
      <c r="AJ23" s="18" t="n">
        <f aca="false">U23+AI23</f>
        <v>213312.940474949</v>
      </c>
      <c r="AK23" s="18" t="n">
        <f aca="false">AC23*Ipotesi!$B$37*Ipotesi!$B$20+IF(A23&gt;Ipotesi!$B$21,INDEX($AC$5:$AC$40,A23-Ipotesi!$B$21)*Ipotesi!$B$37*(1-Ipotesi!$B$20),0)+(AA23-AC23)*Ipotesi!$B$19</f>
        <v>987.655890298336</v>
      </c>
      <c r="AL23" s="18" t="n">
        <f aca="false">X23+SUM($AK$5:AK23)-SUM($AE$5:AE23)-SUM($AG$5:AG23)</f>
        <v>178960.834477739</v>
      </c>
      <c r="AM23" s="45" t="n">
        <f aca="false">IF(AJ23&gt;=0,A23,999)</f>
        <v>19</v>
      </c>
    </row>
    <row r="24" customFormat="false" ht="15" hidden="false" customHeight="false" outlineLevel="0" collapsed="false">
      <c r="A24" s="25" t="n">
        <v>20</v>
      </c>
      <c r="B24" s="45" t="n">
        <f aca="false">INT((A24-1)/12)+1</f>
        <v>2</v>
      </c>
      <c r="C24" s="45" t="n">
        <f aca="false">MOD(Ipotesi!$B$7-1+A24-1,12)+1</f>
        <v>6</v>
      </c>
      <c r="D24" s="46" t="n">
        <f aca="false">INDEX(Ipotesi!$B$58:$B$69,C24)</f>
        <v>1</v>
      </c>
      <c r="E24" s="45" t="n">
        <f aca="false">Ipotesi!$D$47*MIN(1,(A24/Ipotesi!$B$18)^2)*(1+Ipotesi!$D$48)^(MAX(0,A24-12)/12)*D24</f>
        <v>19655.5604565667</v>
      </c>
      <c r="F24" s="20" t="n">
        <f aca="false">E24*Ipotesi!$D$49</f>
        <v>68.7944615979835</v>
      </c>
      <c r="G24" s="20" t="n">
        <f aca="false">F24*Ipotesi!$D$50</f>
        <v>30.9575077190926</v>
      </c>
      <c r="H24" s="20" t="n">
        <f aca="false">G24*Ipotesi!$D$51</f>
        <v>18.5745046314556</v>
      </c>
      <c r="I24" s="20" t="n">
        <f aca="false">IF(A24&lt;=12,Ipotesi!$B$42,Ipotesi!$B$43)</f>
        <v>10.0418410041841</v>
      </c>
      <c r="J24" s="20" t="n">
        <f aca="false">MIN(H24,I24)</f>
        <v>10.0418410041841</v>
      </c>
      <c r="K24" s="20" t="n">
        <f aca="false">H24-J24</f>
        <v>8.53266362727145</v>
      </c>
      <c r="L24" s="18" t="n">
        <f aca="false">J24*Ipotesi!$B$37</f>
        <v>20435.1464435146</v>
      </c>
      <c r="M24" s="18" t="n">
        <f aca="false">(G24-J24)*Ipotesi!$B$19</f>
        <v>2091.56667149085</v>
      </c>
      <c r="N24" s="18" t="n">
        <f aca="false">IF(A24&gt;=Ipotesi!$B$26,Ipotesi!$D$52*Ipotesi!$B$25/12,0)</f>
        <v>1000</v>
      </c>
      <c r="O24" s="18" t="n">
        <f aca="false">IF(A24&gt;=Ipotesi!$B$27,Ipotesi!$D$53,0)</f>
        <v>0</v>
      </c>
      <c r="P24" s="18" t="n">
        <f aca="false">SUM(L24:O24)</f>
        <v>23526.7131150055</v>
      </c>
      <c r="Q24" s="18" t="n">
        <f aca="false">IF(A24=1,Ipotesi!$B$10+Ipotesi!$B$11,0)+Ipotesi!$B$8*Ipotesi!$B$9+Ipotesi!$B$12+Ipotesi!$B$13+Ipotesi!$B$16*52/12*Ipotesi!$B$17</f>
        <v>620</v>
      </c>
      <c r="R24" s="18" t="n">
        <f aca="false">Ipotesi!$B$14*52/12*Ipotesi!$B$15</f>
        <v>1040</v>
      </c>
      <c r="S24" s="18" t="n">
        <f aca="false">J24*IF(A24&lt;=12,Ipotesi!$B$38,Ipotesi!$B$39)*Ipotesi!$B$22</f>
        <v>5400</v>
      </c>
      <c r="T24" s="18" t="n">
        <f aca="false">P24-Q24-R24-S24</f>
        <v>16466.7131150055</v>
      </c>
      <c r="U24" s="18" t="n">
        <f aca="false">U23+T24</f>
        <v>237709.112058308</v>
      </c>
      <c r="V24" s="18" t="n">
        <f aca="false">L24*Ipotesi!$B$20+IF(A24&gt;Ipotesi!$B$21,INDEX($L$5:$L$40,A24-Ipotesi!$B$21)*(1-Ipotesi!$B$20),0)+M24+N24+O24</f>
        <v>23526.7131150055</v>
      </c>
      <c r="W24" s="18" t="n">
        <f aca="false">V24-Q24-S24</f>
        <v>17506.7131150055</v>
      </c>
      <c r="X24" s="18" t="n">
        <f aca="false">X23+W24</f>
        <v>197203.672727764</v>
      </c>
      <c r="Y24" s="45" t="n">
        <f aca="false">IF(U24&gt;=0,A24,999)</f>
        <v>20</v>
      </c>
      <c r="Z24" s="20" t="n">
        <f aca="false">F24*SUMPRODUCT((Social!$C$6:$C$11&lt;=A24)*Social!$B$6:$B$11*Social!$I$6:$I$11)</f>
        <v>20.6383384793951</v>
      </c>
      <c r="AA24" s="20" t="n">
        <f aca="false">Z24*Ipotesi!$D$50</f>
        <v>9.28725231572778</v>
      </c>
      <c r="AB24" s="20" t="n">
        <f aca="false">AA24*Ipotesi!$D$51</f>
        <v>5.57235138943666</v>
      </c>
      <c r="AC24" s="20" t="n">
        <f aca="false">MIN(AB24,MAX(0,I24-J24))</f>
        <v>0</v>
      </c>
      <c r="AD24" s="18" t="n">
        <f aca="false">AC24*Ipotesi!$B$37+(AA24-AC24)*Ipotesi!$B$19</f>
        <v>928.725231572778</v>
      </c>
      <c r="AE24" s="18" t="n">
        <f aca="false">SUMPRODUCT((Social!$C$6:$C$11&lt;=A24)*Social!$J$6:$J$11)</f>
        <v>920</v>
      </c>
      <c r="AF24" s="18" t="n">
        <f aca="false">SUMPRODUCT((Social!$C$6:$C$11&lt;=A24)*Social!$K$6:$K$11)</f>
        <v>433.333333333333</v>
      </c>
      <c r="AG24" s="18" t="n">
        <f aca="false">AC24*IF(A24&lt;=12,Ipotesi!$B$38,Ipotesi!$B$39)*Ipotesi!$B$22</f>
        <v>0</v>
      </c>
      <c r="AH24" s="18" t="n">
        <f aca="false">AD24-AE24-AF24-AG24</f>
        <v>-424.608101760556</v>
      </c>
      <c r="AI24" s="18" t="n">
        <f aca="false">AI23+AH24</f>
        <v>-8354.06657011346</v>
      </c>
      <c r="AJ24" s="18" t="n">
        <f aca="false">U24+AI24</f>
        <v>229355.045488194</v>
      </c>
      <c r="AK24" s="18" t="n">
        <f aca="false">AC24*Ipotesi!$B$37*Ipotesi!$B$20+IF(A24&gt;Ipotesi!$B$21,INDEX($AC$5:$AC$40,A24-Ipotesi!$B$21)*Ipotesi!$B$37*(1-Ipotesi!$B$20),0)+(AA24-AC24)*Ipotesi!$B$19</f>
        <v>928.725231572778</v>
      </c>
      <c r="AL24" s="18" t="n">
        <f aca="false">X24+SUM($AK$5:AK24)-SUM($AE$5:AE24)-SUM($AG$5:AG24)</f>
        <v>196476.272824317</v>
      </c>
      <c r="AM24" s="45" t="n">
        <f aca="false">IF(AJ24&gt;=0,A24,999)</f>
        <v>20</v>
      </c>
    </row>
    <row r="25" customFormat="false" ht="15" hidden="false" customHeight="false" outlineLevel="0" collapsed="false">
      <c r="A25" s="25" t="n">
        <v>21</v>
      </c>
      <c r="B25" s="45" t="n">
        <f aca="false">INT((A25-1)/12)+1</f>
        <v>2</v>
      </c>
      <c r="C25" s="45" t="n">
        <f aca="false">MOD(Ipotesi!$B$7-1+A25-1,12)+1</f>
        <v>7</v>
      </c>
      <c r="D25" s="46" t="n">
        <f aca="false">INDEX(Ipotesi!$B$58:$B$69,C25)</f>
        <v>1</v>
      </c>
      <c r="E25" s="45" t="n">
        <f aca="false">Ipotesi!$D$47*MIN(1,(A25/Ipotesi!$B$18)^2)*(1+Ipotesi!$D$48)^(MAX(0,A25-12)/12)*D25</f>
        <v>20331.0450812215</v>
      </c>
      <c r="F25" s="20" t="n">
        <f aca="false">E25*Ipotesi!$D$49</f>
        <v>71.1586577842753</v>
      </c>
      <c r="G25" s="20" t="n">
        <f aca="false">F25*Ipotesi!$D$50</f>
        <v>32.0213960029239</v>
      </c>
      <c r="H25" s="20" t="n">
        <f aca="false">G25*Ipotesi!$D$51</f>
        <v>19.2128376017543</v>
      </c>
      <c r="I25" s="20" t="n">
        <f aca="false">IF(A25&lt;=12,Ipotesi!$B$42,Ipotesi!$B$43)</f>
        <v>10.0418410041841</v>
      </c>
      <c r="J25" s="20" t="n">
        <f aca="false">MIN(H25,I25)</f>
        <v>10.0418410041841</v>
      </c>
      <c r="K25" s="20" t="n">
        <f aca="false">H25-J25</f>
        <v>9.17099659757023</v>
      </c>
      <c r="L25" s="18" t="n">
        <f aca="false">J25*Ipotesi!$B$37</f>
        <v>20435.1464435146</v>
      </c>
      <c r="M25" s="18" t="n">
        <f aca="false">(G25-J25)*Ipotesi!$B$19</f>
        <v>2197.95549987398</v>
      </c>
      <c r="N25" s="18" t="n">
        <f aca="false">IF(A25&gt;=Ipotesi!$B$26,Ipotesi!$D$52*Ipotesi!$B$25/12,0)</f>
        <v>1000</v>
      </c>
      <c r="O25" s="18" t="n">
        <f aca="false">IF(A25&gt;=Ipotesi!$B$27,Ipotesi!$D$53,0)</f>
        <v>0</v>
      </c>
      <c r="P25" s="18" t="n">
        <f aca="false">SUM(L25:O25)</f>
        <v>23633.1019433886</v>
      </c>
      <c r="Q25" s="18" t="n">
        <f aca="false">IF(A25=1,Ipotesi!$B$10+Ipotesi!$B$11,0)+Ipotesi!$B$8*Ipotesi!$B$9+Ipotesi!$B$12+Ipotesi!$B$13+Ipotesi!$B$16*52/12*Ipotesi!$B$17</f>
        <v>620</v>
      </c>
      <c r="R25" s="18" t="n">
        <f aca="false">Ipotesi!$B$14*52/12*Ipotesi!$B$15</f>
        <v>1040</v>
      </c>
      <c r="S25" s="18" t="n">
        <f aca="false">J25*IF(A25&lt;=12,Ipotesi!$B$38,Ipotesi!$B$39)*Ipotesi!$B$22</f>
        <v>5400</v>
      </c>
      <c r="T25" s="18" t="n">
        <f aca="false">P25-Q25-R25-S25</f>
        <v>16573.1019433886</v>
      </c>
      <c r="U25" s="18" t="n">
        <f aca="false">U24+T25</f>
        <v>254282.214001696</v>
      </c>
      <c r="V25" s="18" t="n">
        <f aca="false">L25*Ipotesi!$B$20+IF(A25&gt;Ipotesi!$B$21,INDEX($L$5:$L$40,A25-Ipotesi!$B$21)*(1-Ipotesi!$B$20),0)+M25+N25+O25</f>
        <v>23633.1019433886</v>
      </c>
      <c r="W25" s="18" t="n">
        <f aca="false">V25-Q25-S25</f>
        <v>17613.1019433886</v>
      </c>
      <c r="X25" s="18" t="n">
        <f aca="false">X24+W25</f>
        <v>214816.774671152</v>
      </c>
      <c r="Y25" s="45" t="n">
        <f aca="false">IF(U25&gt;=0,A25,999)</f>
        <v>21</v>
      </c>
      <c r="Z25" s="20" t="n">
        <f aca="false">F25*SUMPRODUCT((Social!$C$6:$C$11&lt;=A25)*Social!$B$6:$B$11*Social!$I$6:$I$11)</f>
        <v>21.3475973352826</v>
      </c>
      <c r="AA25" s="20" t="n">
        <f aca="false">Z25*Ipotesi!$D$50</f>
        <v>9.60641880087716</v>
      </c>
      <c r="AB25" s="20" t="n">
        <f aca="false">AA25*Ipotesi!$D$51</f>
        <v>5.7638512805263</v>
      </c>
      <c r="AC25" s="20" t="n">
        <f aca="false">MIN(AB25,MAX(0,I25-J25))</f>
        <v>0</v>
      </c>
      <c r="AD25" s="18" t="n">
        <f aca="false">AC25*Ipotesi!$B$37+(AA25-AC25)*Ipotesi!$B$19</f>
        <v>960.641880087716</v>
      </c>
      <c r="AE25" s="18" t="n">
        <f aca="false">SUMPRODUCT((Social!$C$6:$C$11&lt;=A25)*Social!$J$6:$J$11)</f>
        <v>920</v>
      </c>
      <c r="AF25" s="18" t="n">
        <f aca="false">SUMPRODUCT((Social!$C$6:$C$11&lt;=A25)*Social!$K$6:$K$11)</f>
        <v>433.333333333333</v>
      </c>
      <c r="AG25" s="18" t="n">
        <f aca="false">AC25*IF(A25&lt;=12,Ipotesi!$B$38,Ipotesi!$B$39)*Ipotesi!$B$22</f>
        <v>0</v>
      </c>
      <c r="AH25" s="18" t="n">
        <f aca="false">AD25-AE25-AF25-AG25</f>
        <v>-392.691453245617</v>
      </c>
      <c r="AI25" s="18" t="n">
        <f aca="false">AI24+AH25</f>
        <v>-8746.75802335908</v>
      </c>
      <c r="AJ25" s="18" t="n">
        <f aca="false">U25+AI25</f>
        <v>245535.455978337</v>
      </c>
      <c r="AK25" s="18" t="n">
        <f aca="false">AC25*Ipotesi!$B$37*Ipotesi!$B$20+IF(A25&gt;Ipotesi!$B$21,INDEX($AC$5:$AC$40,A25-Ipotesi!$B$21)*Ipotesi!$B$37*(1-Ipotesi!$B$20),0)+(AA25-AC25)*Ipotesi!$B$19</f>
        <v>960.641880087716</v>
      </c>
      <c r="AL25" s="18" t="n">
        <f aca="false">X25+SUM($AK$5:AK25)-SUM($AE$5:AE25)-SUM($AG$5:AG25)</f>
        <v>214130.016647793</v>
      </c>
      <c r="AM25" s="45" t="n">
        <f aca="false">IF(AJ25&gt;=0,A25,999)</f>
        <v>21</v>
      </c>
    </row>
    <row r="26" customFormat="false" ht="15" hidden="false" customHeight="false" outlineLevel="0" collapsed="false">
      <c r="A26" s="25" t="n">
        <v>22</v>
      </c>
      <c r="B26" s="45" t="n">
        <f aca="false">INT((A26-1)/12)+1</f>
        <v>2</v>
      </c>
      <c r="C26" s="45" t="n">
        <f aca="false">MOD(Ipotesi!$B$7-1+A26-1,12)+1</f>
        <v>8</v>
      </c>
      <c r="D26" s="46" t="n">
        <f aca="false">INDEX(Ipotesi!$B$58:$B$69,C26)</f>
        <v>0.7</v>
      </c>
      <c r="E26" s="45" t="n">
        <f aca="false">Ipotesi!$D$47*MIN(1,(A26/Ipotesi!$B$18)^2)*(1+Ipotesi!$D$48)^(MAX(0,A26-12)/12)*D26</f>
        <v>14720.8204266491</v>
      </c>
      <c r="F26" s="20" t="n">
        <f aca="false">E26*Ipotesi!$D$49</f>
        <v>51.5228714932717</v>
      </c>
      <c r="G26" s="20" t="n">
        <f aca="false">F26*Ipotesi!$D$50</f>
        <v>23.1852921719723</v>
      </c>
      <c r="H26" s="20" t="n">
        <f aca="false">G26*Ipotesi!$D$51</f>
        <v>13.9111753031834</v>
      </c>
      <c r="I26" s="20" t="n">
        <f aca="false">IF(A26&lt;=12,Ipotesi!$B$42,Ipotesi!$B$43)</f>
        <v>10.0418410041841</v>
      </c>
      <c r="J26" s="20" t="n">
        <f aca="false">MIN(H26,I26)</f>
        <v>10.0418410041841</v>
      </c>
      <c r="K26" s="20" t="n">
        <f aca="false">H26-J26</f>
        <v>3.86933429899926</v>
      </c>
      <c r="L26" s="18" t="n">
        <f aca="false">J26*Ipotesi!$B$37</f>
        <v>20435.1464435146</v>
      </c>
      <c r="M26" s="18" t="n">
        <f aca="false">(G26-J26)*Ipotesi!$B$19</f>
        <v>1314.34511677882</v>
      </c>
      <c r="N26" s="18" t="n">
        <f aca="false">IF(A26&gt;=Ipotesi!$B$26,Ipotesi!$D$52*Ipotesi!$B$25/12,0)</f>
        <v>1000</v>
      </c>
      <c r="O26" s="18" t="n">
        <f aca="false">IF(A26&gt;=Ipotesi!$B$27,Ipotesi!$D$53,0)</f>
        <v>0</v>
      </c>
      <c r="P26" s="18" t="n">
        <f aca="false">SUM(L26:O26)</f>
        <v>22749.4915602935</v>
      </c>
      <c r="Q26" s="18" t="n">
        <f aca="false">IF(A26=1,Ipotesi!$B$10+Ipotesi!$B$11,0)+Ipotesi!$B$8*Ipotesi!$B$9+Ipotesi!$B$12+Ipotesi!$B$13+Ipotesi!$B$16*52/12*Ipotesi!$B$17</f>
        <v>620</v>
      </c>
      <c r="R26" s="18" t="n">
        <f aca="false">Ipotesi!$B$14*52/12*Ipotesi!$B$15</f>
        <v>1040</v>
      </c>
      <c r="S26" s="18" t="n">
        <f aca="false">J26*IF(A26&lt;=12,Ipotesi!$B$38,Ipotesi!$B$39)*Ipotesi!$B$22</f>
        <v>5400</v>
      </c>
      <c r="T26" s="18" t="n">
        <f aca="false">P26-Q26-R26-S26</f>
        <v>15689.4915602935</v>
      </c>
      <c r="U26" s="18" t="n">
        <f aca="false">U25+T26</f>
        <v>269971.70556199</v>
      </c>
      <c r="V26" s="18" t="n">
        <f aca="false">L26*Ipotesi!$B$20+IF(A26&gt;Ipotesi!$B$21,INDEX($L$5:$L$40,A26-Ipotesi!$B$21)*(1-Ipotesi!$B$20),0)+M26+N26+O26</f>
        <v>22749.4915602935</v>
      </c>
      <c r="W26" s="18" t="n">
        <f aca="false">V26-Q26-S26</f>
        <v>16729.4915602935</v>
      </c>
      <c r="X26" s="18" t="n">
        <f aca="false">X25+W26</f>
        <v>231546.266231446</v>
      </c>
      <c r="Y26" s="45" t="n">
        <f aca="false">IF(U26&gt;=0,A26,999)</f>
        <v>22</v>
      </c>
      <c r="Z26" s="20" t="n">
        <f aca="false">F26*SUMPRODUCT((Social!$C$6:$C$11&lt;=A26)*Social!$B$6:$B$11*Social!$I$6:$I$11)</f>
        <v>15.4568614479815</v>
      </c>
      <c r="AA26" s="20" t="n">
        <f aca="false">Z26*Ipotesi!$D$50</f>
        <v>6.95558765159168</v>
      </c>
      <c r="AB26" s="20" t="n">
        <f aca="false">AA26*Ipotesi!$D$51</f>
        <v>4.17335259095501</v>
      </c>
      <c r="AC26" s="20" t="n">
        <f aca="false">MIN(AB26,MAX(0,I26-J26))</f>
        <v>0</v>
      </c>
      <c r="AD26" s="18" t="n">
        <f aca="false">AC26*Ipotesi!$B$37+(AA26-AC26)*Ipotesi!$B$19</f>
        <v>695.558765159168</v>
      </c>
      <c r="AE26" s="18" t="n">
        <f aca="false">SUMPRODUCT((Social!$C$6:$C$11&lt;=A26)*Social!$J$6:$J$11)</f>
        <v>920</v>
      </c>
      <c r="AF26" s="18" t="n">
        <f aca="false">SUMPRODUCT((Social!$C$6:$C$11&lt;=A26)*Social!$K$6:$K$11)</f>
        <v>433.333333333333</v>
      </c>
      <c r="AG26" s="18" t="n">
        <f aca="false">AC26*IF(A26&lt;=12,Ipotesi!$B$38,Ipotesi!$B$39)*Ipotesi!$B$22</f>
        <v>0</v>
      </c>
      <c r="AH26" s="18" t="n">
        <f aca="false">AD26-AE26-AF26-AG26</f>
        <v>-657.774568174165</v>
      </c>
      <c r="AI26" s="18" t="n">
        <f aca="false">AI25+AH26</f>
        <v>-9404.53259153324</v>
      </c>
      <c r="AJ26" s="18" t="n">
        <f aca="false">U26+AI26</f>
        <v>260567.172970457</v>
      </c>
      <c r="AK26" s="18" t="n">
        <f aca="false">AC26*Ipotesi!$B$37*Ipotesi!$B$20+IF(A26&gt;Ipotesi!$B$21,INDEX($AC$5:$AC$40,A26-Ipotesi!$B$21)*Ipotesi!$B$37*(1-Ipotesi!$B$20),0)+(AA26-AC26)*Ipotesi!$B$19</f>
        <v>695.558765159168</v>
      </c>
      <c r="AL26" s="18" t="n">
        <f aca="false">X26+SUM($AK$5:AK26)-SUM($AE$5:AE26)-SUM($AG$5:AG26)</f>
        <v>230635.066973246</v>
      </c>
      <c r="AM26" s="45" t="n">
        <f aca="false">IF(AJ26&gt;=0,A26,999)</f>
        <v>22</v>
      </c>
    </row>
    <row r="27" customFormat="false" ht="15" hidden="false" customHeight="false" outlineLevel="0" collapsed="false">
      <c r="A27" s="25" t="n">
        <v>23</v>
      </c>
      <c r="B27" s="45" t="n">
        <f aca="false">INT((A27-1)/12)+1</f>
        <v>2</v>
      </c>
      <c r="C27" s="45" t="n">
        <f aca="false">MOD(Ipotesi!$B$7-1+A27-1,12)+1</f>
        <v>9</v>
      </c>
      <c r="D27" s="46" t="n">
        <f aca="false">INDEX(Ipotesi!$B$58:$B$69,C27)</f>
        <v>1.1</v>
      </c>
      <c r="E27" s="45" t="n">
        <f aca="false">Ipotesi!$D$47*MIN(1,(A27/Ipotesi!$B$18)^2)*(1+Ipotesi!$D$48)^(MAX(0,A27-12)/12)*D27</f>
        <v>23927.6987167449</v>
      </c>
      <c r="F27" s="20" t="n">
        <f aca="false">E27*Ipotesi!$D$49</f>
        <v>83.7469455086071</v>
      </c>
      <c r="G27" s="20" t="n">
        <f aca="false">F27*Ipotesi!$D$50</f>
        <v>37.6861254788732</v>
      </c>
      <c r="H27" s="20" t="n">
        <f aca="false">G27*Ipotesi!$D$51</f>
        <v>22.6116752873239</v>
      </c>
      <c r="I27" s="20" t="n">
        <f aca="false">IF(A27&lt;=12,Ipotesi!$B$42,Ipotesi!$B$43)</f>
        <v>10.0418410041841</v>
      </c>
      <c r="J27" s="20" t="n">
        <f aca="false">MIN(H27,I27)</f>
        <v>10.0418410041841</v>
      </c>
      <c r="K27" s="20" t="n">
        <f aca="false">H27-J27</f>
        <v>12.5698342831398</v>
      </c>
      <c r="L27" s="18" t="n">
        <f aca="false">J27*Ipotesi!$B$37</f>
        <v>20435.1464435146</v>
      </c>
      <c r="M27" s="18" t="n">
        <f aca="false">(G27-J27)*Ipotesi!$B$19</f>
        <v>2764.42844746891</v>
      </c>
      <c r="N27" s="18" t="n">
        <f aca="false">IF(A27&gt;=Ipotesi!$B$26,Ipotesi!$D$52*Ipotesi!$B$25/12,0)</f>
        <v>1000</v>
      </c>
      <c r="O27" s="18" t="n">
        <f aca="false">IF(A27&gt;=Ipotesi!$B$27,Ipotesi!$D$53,0)</f>
        <v>0</v>
      </c>
      <c r="P27" s="18" t="n">
        <f aca="false">SUM(L27:O27)</f>
        <v>24199.5748909836</v>
      </c>
      <c r="Q27" s="18" t="n">
        <f aca="false">IF(A27=1,Ipotesi!$B$10+Ipotesi!$B$11,0)+Ipotesi!$B$8*Ipotesi!$B$9+Ipotesi!$B$12+Ipotesi!$B$13+Ipotesi!$B$16*52/12*Ipotesi!$B$17</f>
        <v>620</v>
      </c>
      <c r="R27" s="18" t="n">
        <f aca="false">Ipotesi!$B$14*52/12*Ipotesi!$B$15</f>
        <v>1040</v>
      </c>
      <c r="S27" s="18" t="n">
        <f aca="false">J27*IF(A27&lt;=12,Ipotesi!$B$38,Ipotesi!$B$39)*Ipotesi!$B$22</f>
        <v>5400</v>
      </c>
      <c r="T27" s="18" t="n">
        <f aca="false">P27-Q27-R27-S27</f>
        <v>17139.5748909836</v>
      </c>
      <c r="U27" s="18" t="n">
        <f aca="false">U26+T27</f>
        <v>287111.280452973</v>
      </c>
      <c r="V27" s="18" t="n">
        <f aca="false">L27*Ipotesi!$B$20+IF(A27&gt;Ipotesi!$B$21,INDEX($L$5:$L$40,A27-Ipotesi!$B$21)*(1-Ipotesi!$B$20),0)+M27+N27+O27</f>
        <v>24199.5748909836</v>
      </c>
      <c r="W27" s="18" t="n">
        <f aca="false">V27-Q27-S27</f>
        <v>18179.5748909836</v>
      </c>
      <c r="X27" s="18" t="n">
        <f aca="false">X26+W27</f>
        <v>249725.841122429</v>
      </c>
      <c r="Y27" s="45" t="n">
        <f aca="false">IF(U27&gt;=0,A27,999)</f>
        <v>23</v>
      </c>
      <c r="Z27" s="20" t="n">
        <f aca="false">F27*SUMPRODUCT((Social!$C$6:$C$11&lt;=A27)*Social!$B$6:$B$11*Social!$I$6:$I$11)</f>
        <v>25.1240836525821</v>
      </c>
      <c r="AA27" s="20" t="n">
        <f aca="false">Z27*Ipotesi!$D$50</f>
        <v>11.305837643662</v>
      </c>
      <c r="AB27" s="20" t="n">
        <f aca="false">AA27*Ipotesi!$D$51</f>
        <v>6.78350258619718</v>
      </c>
      <c r="AC27" s="20" t="n">
        <f aca="false">MIN(AB27,MAX(0,I27-J27))</f>
        <v>0</v>
      </c>
      <c r="AD27" s="18" t="n">
        <f aca="false">AC27*Ipotesi!$B$37+(AA27-AC27)*Ipotesi!$B$19</f>
        <v>1130.5837643662</v>
      </c>
      <c r="AE27" s="18" t="n">
        <f aca="false">SUMPRODUCT((Social!$C$6:$C$11&lt;=A27)*Social!$J$6:$J$11)</f>
        <v>920</v>
      </c>
      <c r="AF27" s="18" t="n">
        <f aca="false">SUMPRODUCT((Social!$C$6:$C$11&lt;=A27)*Social!$K$6:$K$11)</f>
        <v>433.333333333333</v>
      </c>
      <c r="AG27" s="18" t="n">
        <f aca="false">AC27*IF(A27&lt;=12,Ipotesi!$B$38,Ipotesi!$B$39)*Ipotesi!$B$22</f>
        <v>0</v>
      </c>
      <c r="AH27" s="18" t="n">
        <f aca="false">AD27-AE27-AF27-AG27</f>
        <v>-222.749568967137</v>
      </c>
      <c r="AI27" s="18" t="n">
        <f aca="false">AI26+AH27</f>
        <v>-9627.28216050038</v>
      </c>
      <c r="AJ27" s="18" t="n">
        <f aca="false">U27+AI27</f>
        <v>277483.998292473</v>
      </c>
      <c r="AK27" s="18" t="n">
        <f aca="false">AC27*Ipotesi!$B$37*Ipotesi!$B$20+IF(A27&gt;Ipotesi!$B$21,INDEX($AC$5:$AC$40,A27-Ipotesi!$B$21)*Ipotesi!$B$37*(1-Ipotesi!$B$20),0)+(AA27-AC27)*Ipotesi!$B$19</f>
        <v>1130.5837643662</v>
      </c>
      <c r="AL27" s="18" t="n">
        <f aca="false">X27+SUM($AK$5:AK27)-SUM($AE$5:AE27)-SUM($AG$5:AG27)</f>
        <v>249025.225628596</v>
      </c>
      <c r="AM27" s="45" t="n">
        <f aca="false">IF(AJ27&gt;=0,A27,999)</f>
        <v>23</v>
      </c>
    </row>
    <row r="28" customFormat="false" ht="15" hidden="false" customHeight="false" outlineLevel="0" collapsed="false">
      <c r="A28" s="25" t="n">
        <v>24</v>
      </c>
      <c r="B28" s="45" t="n">
        <f aca="false">INT((A28-1)/12)+1</f>
        <v>2</v>
      </c>
      <c r="C28" s="45" t="n">
        <f aca="false">MOD(Ipotesi!$B$7-1+A28-1,12)+1</f>
        <v>10</v>
      </c>
      <c r="D28" s="46" t="n">
        <f aca="false">INDEX(Ipotesi!$B$58:$B$69,C28)</f>
        <v>1.1</v>
      </c>
      <c r="E28" s="45" t="n">
        <f aca="false">Ipotesi!$D$47*MIN(1,(A28/Ipotesi!$B$18)^2)*(1+Ipotesi!$D$48)^(MAX(0,A28-12)/12)*D28</f>
        <v>24750</v>
      </c>
      <c r="F28" s="20" t="n">
        <f aca="false">E28*Ipotesi!$D$49</f>
        <v>86.625</v>
      </c>
      <c r="G28" s="20" t="n">
        <f aca="false">F28*Ipotesi!$D$50</f>
        <v>38.98125</v>
      </c>
      <c r="H28" s="20" t="n">
        <f aca="false">G28*Ipotesi!$D$51</f>
        <v>23.38875</v>
      </c>
      <c r="I28" s="20" t="n">
        <f aca="false">IF(A28&lt;=12,Ipotesi!$B$42,Ipotesi!$B$43)</f>
        <v>10.0418410041841</v>
      </c>
      <c r="J28" s="20" t="n">
        <f aca="false">MIN(H28,I28)</f>
        <v>10.0418410041841</v>
      </c>
      <c r="K28" s="20" t="n">
        <f aca="false">H28-J28</f>
        <v>13.3469089958159</v>
      </c>
      <c r="L28" s="18" t="n">
        <f aca="false">J28*Ipotesi!$B$37</f>
        <v>20435.1464435146</v>
      </c>
      <c r="M28" s="18" t="n">
        <f aca="false">(G28-J28)*Ipotesi!$B$19</f>
        <v>2893.94089958159</v>
      </c>
      <c r="N28" s="18" t="n">
        <f aca="false">IF(A28&gt;=Ipotesi!$B$26,Ipotesi!$D$52*Ipotesi!$B$25/12,0)</f>
        <v>1000</v>
      </c>
      <c r="O28" s="18" t="n">
        <f aca="false">IF(A28&gt;=Ipotesi!$B$27,Ipotesi!$D$53,0)</f>
        <v>0</v>
      </c>
      <c r="P28" s="18" t="n">
        <f aca="false">SUM(L28:O28)</f>
        <v>24329.0873430962</v>
      </c>
      <c r="Q28" s="18" t="n">
        <f aca="false">IF(A28=1,Ipotesi!$B$10+Ipotesi!$B$11,0)+Ipotesi!$B$8*Ipotesi!$B$9+Ipotesi!$B$12+Ipotesi!$B$13+Ipotesi!$B$16*52/12*Ipotesi!$B$17</f>
        <v>620</v>
      </c>
      <c r="R28" s="18" t="n">
        <f aca="false">Ipotesi!$B$14*52/12*Ipotesi!$B$15</f>
        <v>1040</v>
      </c>
      <c r="S28" s="18" t="n">
        <f aca="false">J28*IF(A28&lt;=12,Ipotesi!$B$38,Ipotesi!$B$39)*Ipotesi!$B$22</f>
        <v>5400</v>
      </c>
      <c r="T28" s="18" t="n">
        <f aca="false">P28-Q28-R28-S28</f>
        <v>17269.0873430962</v>
      </c>
      <c r="U28" s="18" t="n">
        <f aca="false">U27+T28</f>
        <v>304380.36779607</v>
      </c>
      <c r="V28" s="18" t="n">
        <f aca="false">L28*Ipotesi!$B$20+IF(A28&gt;Ipotesi!$B$21,INDEX($L$5:$L$40,A28-Ipotesi!$B$21)*(1-Ipotesi!$B$20),0)+M28+N28+O28</f>
        <v>24329.0873430962</v>
      </c>
      <c r="W28" s="18" t="n">
        <f aca="false">V28-Q28-S28</f>
        <v>18309.0873430962</v>
      </c>
      <c r="X28" s="18" t="n">
        <f aca="false">X27+W28</f>
        <v>268034.928465526</v>
      </c>
      <c r="Y28" s="45" t="n">
        <f aca="false">IF(U28&gt;=0,A28,999)</f>
        <v>24</v>
      </c>
      <c r="Z28" s="20" t="n">
        <f aca="false">F28*SUMPRODUCT((Social!$C$6:$C$11&lt;=A28)*Social!$B$6:$B$11*Social!$I$6:$I$11)</f>
        <v>25.9875</v>
      </c>
      <c r="AA28" s="20" t="n">
        <f aca="false">Z28*Ipotesi!$D$50</f>
        <v>11.694375</v>
      </c>
      <c r="AB28" s="20" t="n">
        <f aca="false">AA28*Ipotesi!$D$51</f>
        <v>7.016625</v>
      </c>
      <c r="AC28" s="20" t="n">
        <f aca="false">MIN(AB28,MAX(0,I28-J28))</f>
        <v>0</v>
      </c>
      <c r="AD28" s="18" t="n">
        <f aca="false">AC28*Ipotesi!$B$37+(AA28-AC28)*Ipotesi!$B$19</f>
        <v>1169.4375</v>
      </c>
      <c r="AE28" s="18" t="n">
        <f aca="false">SUMPRODUCT((Social!$C$6:$C$11&lt;=A28)*Social!$J$6:$J$11)</f>
        <v>920</v>
      </c>
      <c r="AF28" s="18" t="n">
        <f aca="false">SUMPRODUCT((Social!$C$6:$C$11&lt;=A28)*Social!$K$6:$K$11)</f>
        <v>433.333333333333</v>
      </c>
      <c r="AG28" s="18" t="n">
        <f aca="false">AC28*IF(A28&lt;=12,Ipotesi!$B$38,Ipotesi!$B$39)*Ipotesi!$B$22</f>
        <v>0</v>
      </c>
      <c r="AH28" s="18" t="n">
        <f aca="false">AD28-AE28-AF28-AG28</f>
        <v>-183.895833333333</v>
      </c>
      <c r="AI28" s="18" t="n">
        <f aca="false">AI27+AH28</f>
        <v>-9811.17799383371</v>
      </c>
      <c r="AJ28" s="18" t="n">
        <f aca="false">U28+AI28</f>
        <v>294569.189802236</v>
      </c>
      <c r="AK28" s="18" t="n">
        <f aca="false">AC28*Ipotesi!$B$37*Ipotesi!$B$20+IF(A28&gt;Ipotesi!$B$21,INDEX($AC$5:$AC$40,A28-Ipotesi!$B$21)*Ipotesi!$B$37*(1-Ipotesi!$B$20),0)+(AA28-AC28)*Ipotesi!$B$19</f>
        <v>1169.4375</v>
      </c>
      <c r="AL28" s="18" t="n">
        <f aca="false">X28+SUM($AK$5:AK28)-SUM($AE$5:AE28)-SUM($AG$5:AG28)</f>
        <v>267583.750471692</v>
      </c>
      <c r="AM28" s="45" t="n">
        <f aca="false">IF(AJ28&gt;=0,A28,999)</f>
        <v>24</v>
      </c>
    </row>
    <row r="29" customFormat="false" ht="15" hidden="false" customHeight="false" outlineLevel="0" collapsed="false">
      <c r="A29" s="25" t="n">
        <v>25</v>
      </c>
      <c r="B29" s="45" t="n">
        <f aca="false">INT((A29-1)/12)+1</f>
        <v>3</v>
      </c>
      <c r="C29" s="45" t="n">
        <f aca="false">MOD(Ipotesi!$B$7-1+A29-1,12)+1</f>
        <v>11</v>
      </c>
      <c r="D29" s="46" t="n">
        <f aca="false">INDEX(Ipotesi!$B$58:$B$69,C29)</f>
        <v>1</v>
      </c>
      <c r="E29" s="45" t="n">
        <f aca="false">Ipotesi!$D$47*MIN(1,(A29/Ipotesi!$B$18)^2)*(1+Ipotesi!$D$48)^(MAX(0,A29-12)/12)*D29</f>
        <v>23273.2368704681</v>
      </c>
      <c r="F29" s="20" t="n">
        <f aca="false">E29*Ipotesi!$D$49</f>
        <v>81.4563290466384</v>
      </c>
      <c r="G29" s="20" t="n">
        <f aca="false">F29*Ipotesi!$D$50</f>
        <v>36.6553480709873</v>
      </c>
      <c r="H29" s="20" t="n">
        <f aca="false">G29*Ipotesi!$D$51</f>
        <v>21.9932088425924</v>
      </c>
      <c r="I29" s="20" t="n">
        <f aca="false">IF(A29&lt;=12,Ipotesi!$B$42,Ipotesi!$B$43)</f>
        <v>10.0418410041841</v>
      </c>
      <c r="J29" s="20" t="n">
        <f aca="false">MIN(H29,I29)</f>
        <v>10.0418410041841</v>
      </c>
      <c r="K29" s="20" t="n">
        <f aca="false">H29-J29</f>
        <v>11.9513678384083</v>
      </c>
      <c r="L29" s="18" t="n">
        <f aca="false">J29*Ipotesi!$B$37</f>
        <v>20435.1464435146</v>
      </c>
      <c r="M29" s="18" t="n">
        <f aca="false">(G29-J29)*Ipotesi!$B$19</f>
        <v>2661.35070668032</v>
      </c>
      <c r="N29" s="18" t="n">
        <f aca="false">IF(A29&gt;=Ipotesi!$B$26,Ipotesi!$D$52*Ipotesi!$B$25/12,0)</f>
        <v>1000</v>
      </c>
      <c r="O29" s="18" t="n">
        <f aca="false">IF(A29&gt;=Ipotesi!$B$27,Ipotesi!$D$53,0)</f>
        <v>1500</v>
      </c>
      <c r="P29" s="18" t="n">
        <f aca="false">SUM(L29:O29)</f>
        <v>25596.497150195</v>
      </c>
      <c r="Q29" s="18" t="n">
        <f aca="false">IF(A29=1,Ipotesi!$B$10+Ipotesi!$B$11,0)+Ipotesi!$B$8*Ipotesi!$B$9+Ipotesi!$B$12+Ipotesi!$B$13+Ipotesi!$B$16*52/12*Ipotesi!$B$17</f>
        <v>620</v>
      </c>
      <c r="R29" s="18" t="n">
        <f aca="false">Ipotesi!$B$14*52/12*Ipotesi!$B$15</f>
        <v>1040</v>
      </c>
      <c r="S29" s="18" t="n">
        <f aca="false">J29*IF(A29&lt;=12,Ipotesi!$B$38,Ipotesi!$B$39)*Ipotesi!$B$22</f>
        <v>5400</v>
      </c>
      <c r="T29" s="18" t="n">
        <f aca="false">P29-Q29-R29-S29</f>
        <v>18536.497150195</v>
      </c>
      <c r="U29" s="18" t="n">
        <f aca="false">U28+T29</f>
        <v>322916.864946265</v>
      </c>
      <c r="V29" s="18" t="n">
        <f aca="false">L29*Ipotesi!$B$20+IF(A29&gt;Ipotesi!$B$21,INDEX($L$5:$L$40,A29-Ipotesi!$B$21)*(1-Ipotesi!$B$20),0)+M29+N29+O29</f>
        <v>25596.497150195</v>
      </c>
      <c r="W29" s="18" t="n">
        <f aca="false">V29-Q29-S29</f>
        <v>19576.497150195</v>
      </c>
      <c r="X29" s="18" t="n">
        <f aca="false">X28+W29</f>
        <v>287611.425615721</v>
      </c>
      <c r="Y29" s="45" t="n">
        <f aca="false">IF(U29&gt;=0,A29,999)</f>
        <v>25</v>
      </c>
      <c r="Z29" s="20" t="n">
        <f aca="false">F29*SUMPRODUCT((Social!$C$6:$C$11&lt;=A29)*Social!$B$6:$B$11*Social!$I$6:$I$11)</f>
        <v>24.4368987139915</v>
      </c>
      <c r="AA29" s="20" t="n">
        <f aca="false">Z29*Ipotesi!$D$50</f>
        <v>10.9966044212962</v>
      </c>
      <c r="AB29" s="20" t="n">
        <f aca="false">AA29*Ipotesi!$D$51</f>
        <v>6.59796265277771</v>
      </c>
      <c r="AC29" s="20" t="n">
        <f aca="false">MIN(AB29,MAX(0,I29-J29))</f>
        <v>0</v>
      </c>
      <c r="AD29" s="18" t="n">
        <f aca="false">AC29*Ipotesi!$B$37+(AA29-AC29)*Ipotesi!$B$19</f>
        <v>1099.66044212962</v>
      </c>
      <c r="AE29" s="18" t="n">
        <f aca="false">SUMPRODUCT((Social!$C$6:$C$11&lt;=A29)*Social!$J$6:$J$11)</f>
        <v>920</v>
      </c>
      <c r="AF29" s="18" t="n">
        <f aca="false">SUMPRODUCT((Social!$C$6:$C$11&lt;=A29)*Social!$K$6:$K$11)</f>
        <v>433.333333333333</v>
      </c>
      <c r="AG29" s="18" t="n">
        <f aca="false">AC29*IF(A29&lt;=12,Ipotesi!$B$38,Ipotesi!$B$39)*Ipotesi!$B$22</f>
        <v>0</v>
      </c>
      <c r="AH29" s="18" t="n">
        <f aca="false">AD29-AE29-AF29-AG29</f>
        <v>-253.672891203714</v>
      </c>
      <c r="AI29" s="18" t="n">
        <f aca="false">AI28+AH29</f>
        <v>-10064.8508850374</v>
      </c>
      <c r="AJ29" s="18" t="n">
        <f aca="false">U29+AI29</f>
        <v>312852.014061227</v>
      </c>
      <c r="AK29" s="18" t="n">
        <f aca="false">AC29*Ipotesi!$B$37*Ipotesi!$B$20+IF(A29&gt;Ipotesi!$B$21,INDEX($AC$5:$AC$40,A29-Ipotesi!$B$21)*Ipotesi!$B$37*(1-Ipotesi!$B$20),0)+(AA29-AC29)*Ipotesi!$B$19</f>
        <v>1099.66044212962</v>
      </c>
      <c r="AL29" s="18" t="n">
        <f aca="false">X29+SUM($AK$5:AK29)-SUM($AE$5:AE29)-SUM($AG$5:AG29)</f>
        <v>287339.908064017</v>
      </c>
      <c r="AM29" s="45" t="n">
        <f aca="false">IF(AJ29&gt;=0,A29,999)</f>
        <v>25</v>
      </c>
    </row>
    <row r="30" customFormat="false" ht="15" hidden="false" customHeight="false" outlineLevel="0" collapsed="false">
      <c r="A30" s="25" t="n">
        <v>26</v>
      </c>
      <c r="B30" s="45" t="n">
        <f aca="false">INT((A30-1)/12)+1</f>
        <v>3</v>
      </c>
      <c r="C30" s="45" t="n">
        <f aca="false">MOD(Ipotesi!$B$7-1+A30-1,12)+1</f>
        <v>12</v>
      </c>
      <c r="D30" s="46" t="n">
        <f aca="false">INDEX(Ipotesi!$B$58:$B$69,C30)</f>
        <v>0.8</v>
      </c>
      <c r="E30" s="45" t="n">
        <f aca="false">Ipotesi!$D$47*MIN(1,(A30/Ipotesi!$B$18)^2)*(1+Ipotesi!$D$48)^(MAX(0,A30-12)/12)*D30</f>
        <v>19258.4374908059</v>
      </c>
      <c r="F30" s="20" t="n">
        <f aca="false">E30*Ipotesi!$D$49</f>
        <v>67.4045312178208</v>
      </c>
      <c r="G30" s="20" t="n">
        <f aca="false">F30*Ipotesi!$D$50</f>
        <v>30.3320390480194</v>
      </c>
      <c r="H30" s="20" t="n">
        <f aca="false">G30*Ipotesi!$D$51</f>
        <v>18.1992234288116</v>
      </c>
      <c r="I30" s="20" t="n">
        <f aca="false">IF(A30&lt;=12,Ipotesi!$B$42,Ipotesi!$B$43)</f>
        <v>10.0418410041841</v>
      </c>
      <c r="J30" s="20" t="n">
        <f aca="false">MIN(H30,I30)</f>
        <v>10.0418410041841</v>
      </c>
      <c r="K30" s="20" t="n">
        <f aca="false">H30-J30</f>
        <v>8.15738242462751</v>
      </c>
      <c r="L30" s="18" t="n">
        <f aca="false">J30*Ipotesi!$B$37</f>
        <v>20435.1464435146</v>
      </c>
      <c r="M30" s="18" t="n">
        <f aca="false">(G30-J30)*Ipotesi!$B$19</f>
        <v>2029.01980438352</v>
      </c>
      <c r="N30" s="18" t="n">
        <f aca="false">IF(A30&gt;=Ipotesi!$B$26,Ipotesi!$D$52*Ipotesi!$B$25/12,0)</f>
        <v>1000</v>
      </c>
      <c r="O30" s="18" t="n">
        <f aca="false">IF(A30&gt;=Ipotesi!$B$27,Ipotesi!$D$53,0)</f>
        <v>1500</v>
      </c>
      <c r="P30" s="18" t="n">
        <f aca="false">SUM(L30:O30)</f>
        <v>24964.1662478982</v>
      </c>
      <c r="Q30" s="18" t="n">
        <f aca="false">IF(A30=1,Ipotesi!$B$10+Ipotesi!$B$11,0)+Ipotesi!$B$8*Ipotesi!$B$9+Ipotesi!$B$12+Ipotesi!$B$13+Ipotesi!$B$16*52/12*Ipotesi!$B$17</f>
        <v>620</v>
      </c>
      <c r="R30" s="18" t="n">
        <f aca="false">Ipotesi!$B$14*52/12*Ipotesi!$B$15</f>
        <v>1040</v>
      </c>
      <c r="S30" s="18" t="n">
        <f aca="false">J30*IF(A30&lt;=12,Ipotesi!$B$38,Ipotesi!$B$39)*Ipotesi!$B$22</f>
        <v>5400</v>
      </c>
      <c r="T30" s="18" t="n">
        <f aca="false">P30-Q30-R30-S30</f>
        <v>17904.1662478982</v>
      </c>
      <c r="U30" s="18" t="n">
        <f aca="false">U29+T30</f>
        <v>340821.031194163</v>
      </c>
      <c r="V30" s="18" t="n">
        <f aca="false">L30*Ipotesi!$B$20+IF(A30&gt;Ipotesi!$B$21,INDEX($L$5:$L$40,A30-Ipotesi!$B$21)*(1-Ipotesi!$B$20),0)+M30+N30+O30</f>
        <v>24964.1662478982</v>
      </c>
      <c r="W30" s="18" t="n">
        <f aca="false">V30-Q30-S30</f>
        <v>18944.1662478982</v>
      </c>
      <c r="X30" s="18" t="n">
        <f aca="false">X29+W30</f>
        <v>306555.591863619</v>
      </c>
      <c r="Y30" s="45" t="n">
        <f aca="false">IF(U30&gt;=0,A30,999)</f>
        <v>26</v>
      </c>
      <c r="Z30" s="20" t="n">
        <f aca="false">F30*SUMPRODUCT((Social!$C$6:$C$11&lt;=A30)*Social!$B$6:$B$11*Social!$I$6:$I$11)</f>
        <v>20.2213593653462</v>
      </c>
      <c r="AA30" s="20" t="n">
        <f aca="false">Z30*Ipotesi!$D$50</f>
        <v>9.09961171440581</v>
      </c>
      <c r="AB30" s="20" t="n">
        <f aca="false">AA30*Ipotesi!$D$51</f>
        <v>5.45976702864348</v>
      </c>
      <c r="AC30" s="20" t="n">
        <f aca="false">MIN(AB30,MAX(0,I30-J30))</f>
        <v>0</v>
      </c>
      <c r="AD30" s="18" t="n">
        <f aca="false">AC30*Ipotesi!$B$37+(AA30-AC30)*Ipotesi!$B$19</f>
        <v>909.961171440581</v>
      </c>
      <c r="AE30" s="18" t="n">
        <f aca="false">SUMPRODUCT((Social!$C$6:$C$11&lt;=A30)*Social!$J$6:$J$11)</f>
        <v>920</v>
      </c>
      <c r="AF30" s="18" t="n">
        <f aca="false">SUMPRODUCT((Social!$C$6:$C$11&lt;=A30)*Social!$K$6:$K$11)</f>
        <v>433.333333333333</v>
      </c>
      <c r="AG30" s="18" t="n">
        <f aca="false">AC30*IF(A30&lt;=12,Ipotesi!$B$38,Ipotesi!$B$39)*Ipotesi!$B$22</f>
        <v>0</v>
      </c>
      <c r="AH30" s="18" t="n">
        <f aca="false">AD30-AE30-AF30-AG30</f>
        <v>-443.372161892753</v>
      </c>
      <c r="AI30" s="18" t="n">
        <f aca="false">AI29+AH30</f>
        <v>-10508.2230469302</v>
      </c>
      <c r="AJ30" s="18" t="n">
        <f aca="false">U30+AI30</f>
        <v>330312.808147233</v>
      </c>
      <c r="AK30" s="18" t="n">
        <f aca="false">AC30*Ipotesi!$B$37*Ipotesi!$B$20+IF(A30&gt;Ipotesi!$B$21,INDEX($AC$5:$AC$40,A30-Ipotesi!$B$21)*Ipotesi!$B$37*(1-Ipotesi!$B$20),0)+(AA30-AC30)*Ipotesi!$B$19</f>
        <v>909.961171440581</v>
      </c>
      <c r="AL30" s="18" t="n">
        <f aca="false">X30+SUM($AK$5:AK30)-SUM($AE$5:AE30)-SUM($AG$5:AG30)</f>
        <v>306274.035483355</v>
      </c>
      <c r="AM30" s="45" t="n">
        <f aca="false">IF(AJ30&gt;=0,A30,999)</f>
        <v>26</v>
      </c>
    </row>
    <row r="31" customFormat="false" ht="15" hidden="false" customHeight="false" outlineLevel="0" collapsed="false">
      <c r="A31" s="25" t="n">
        <v>27</v>
      </c>
      <c r="B31" s="45" t="n">
        <f aca="false">INT((A31-1)/12)+1</f>
        <v>3</v>
      </c>
      <c r="C31" s="45" t="n">
        <f aca="false">MOD(Ipotesi!$B$7-1+A31-1,12)+1</f>
        <v>1</v>
      </c>
      <c r="D31" s="46" t="n">
        <f aca="false">INDEX(Ipotesi!$B$58:$B$69,C31)</f>
        <v>0.9</v>
      </c>
      <c r="E31" s="45" t="n">
        <f aca="false">Ipotesi!$D$47*MIN(1,(A31/Ipotesi!$B$18)^2)*(1+Ipotesi!$D$48)^(MAX(0,A31-12)/12)*D31</f>
        <v>22410.3088739315</v>
      </c>
      <c r="F31" s="20" t="n">
        <f aca="false">E31*Ipotesi!$D$49</f>
        <v>78.4360810587603</v>
      </c>
      <c r="G31" s="20" t="n">
        <f aca="false">F31*Ipotesi!$D$50</f>
        <v>35.2962364764421</v>
      </c>
      <c r="H31" s="20" t="n">
        <f aca="false">G31*Ipotesi!$D$51</f>
        <v>21.1777418858653</v>
      </c>
      <c r="I31" s="20" t="n">
        <f aca="false">IF(A31&lt;=12,Ipotesi!$B$42,Ipotesi!$B$43)</f>
        <v>10.0418410041841</v>
      </c>
      <c r="J31" s="20" t="n">
        <f aca="false">MIN(H31,I31)</f>
        <v>10.0418410041841</v>
      </c>
      <c r="K31" s="20" t="n">
        <f aca="false">H31-J31</f>
        <v>11.1359008816812</v>
      </c>
      <c r="L31" s="18" t="n">
        <f aca="false">J31*Ipotesi!$B$37</f>
        <v>20435.1464435146</v>
      </c>
      <c r="M31" s="18" t="n">
        <f aca="false">(G31-J31)*Ipotesi!$B$19</f>
        <v>2525.4395472258</v>
      </c>
      <c r="N31" s="18" t="n">
        <f aca="false">IF(A31&gt;=Ipotesi!$B$26,Ipotesi!$D$52*Ipotesi!$B$25/12,0)</f>
        <v>1000</v>
      </c>
      <c r="O31" s="18" t="n">
        <f aca="false">IF(A31&gt;=Ipotesi!$B$27,Ipotesi!$D$53,0)</f>
        <v>1500</v>
      </c>
      <c r="P31" s="18" t="n">
        <f aca="false">SUM(L31:O31)</f>
        <v>25460.5859907405</v>
      </c>
      <c r="Q31" s="18" t="n">
        <f aca="false">IF(A31=1,Ipotesi!$B$10+Ipotesi!$B$11,0)+Ipotesi!$B$8*Ipotesi!$B$9+Ipotesi!$B$12+Ipotesi!$B$13+Ipotesi!$B$16*52/12*Ipotesi!$B$17</f>
        <v>620</v>
      </c>
      <c r="R31" s="18" t="n">
        <f aca="false">Ipotesi!$B$14*52/12*Ipotesi!$B$15</f>
        <v>1040</v>
      </c>
      <c r="S31" s="18" t="n">
        <f aca="false">J31*IF(A31&lt;=12,Ipotesi!$B$38,Ipotesi!$B$39)*Ipotesi!$B$22</f>
        <v>5400</v>
      </c>
      <c r="T31" s="18" t="n">
        <f aca="false">P31-Q31-R31-S31</f>
        <v>18400.5859907405</v>
      </c>
      <c r="U31" s="18" t="n">
        <f aca="false">U30+T31</f>
        <v>359221.617184903</v>
      </c>
      <c r="V31" s="18" t="n">
        <f aca="false">L31*Ipotesi!$B$20+IF(A31&gt;Ipotesi!$B$21,INDEX($L$5:$L$40,A31-Ipotesi!$B$21)*(1-Ipotesi!$B$20),0)+M31+N31+O31</f>
        <v>25460.5859907405</v>
      </c>
      <c r="W31" s="18" t="n">
        <f aca="false">V31-Q31-S31</f>
        <v>19440.5859907405</v>
      </c>
      <c r="X31" s="18" t="n">
        <f aca="false">X30+W31</f>
        <v>325996.177854359</v>
      </c>
      <c r="Y31" s="45" t="n">
        <f aca="false">IF(U31&gt;=0,A31,999)</f>
        <v>27</v>
      </c>
      <c r="Z31" s="20" t="n">
        <f aca="false">F31*SUMPRODUCT((Social!$C$6:$C$11&lt;=A31)*Social!$B$6:$B$11*Social!$I$6:$I$11)</f>
        <v>23.5308243176281</v>
      </c>
      <c r="AA31" s="20" t="n">
        <f aca="false">Z31*Ipotesi!$D$50</f>
        <v>10.5888709429326</v>
      </c>
      <c r="AB31" s="20" t="n">
        <f aca="false">AA31*Ipotesi!$D$51</f>
        <v>6.35332256575958</v>
      </c>
      <c r="AC31" s="20" t="n">
        <f aca="false">MIN(AB31,MAX(0,I31-J31))</f>
        <v>0</v>
      </c>
      <c r="AD31" s="18" t="n">
        <f aca="false">AC31*Ipotesi!$B$37+(AA31-AC31)*Ipotesi!$B$19</f>
        <v>1058.88709429326</v>
      </c>
      <c r="AE31" s="18" t="n">
        <f aca="false">SUMPRODUCT((Social!$C$6:$C$11&lt;=A31)*Social!$J$6:$J$11)</f>
        <v>920</v>
      </c>
      <c r="AF31" s="18" t="n">
        <f aca="false">SUMPRODUCT((Social!$C$6:$C$11&lt;=A31)*Social!$K$6:$K$11)</f>
        <v>433.333333333333</v>
      </c>
      <c r="AG31" s="18" t="n">
        <f aca="false">AC31*IF(A31&lt;=12,Ipotesi!$B$38,Ipotesi!$B$39)*Ipotesi!$B$22</f>
        <v>0</v>
      </c>
      <c r="AH31" s="18" t="n">
        <f aca="false">AD31-AE31-AF31-AG31</f>
        <v>-294.446239040069</v>
      </c>
      <c r="AI31" s="18" t="n">
        <f aca="false">AI30+AH31</f>
        <v>-10802.6692859702</v>
      </c>
      <c r="AJ31" s="18" t="n">
        <f aca="false">U31+AI31</f>
        <v>348418.947898933</v>
      </c>
      <c r="AK31" s="18" t="n">
        <f aca="false">AC31*Ipotesi!$B$37*Ipotesi!$B$20+IF(A31&gt;Ipotesi!$B$21,INDEX($AC$5:$AC$40,A31-Ipotesi!$B$21)*Ipotesi!$B$37*(1-Ipotesi!$B$20),0)+(AA31-AC31)*Ipotesi!$B$19</f>
        <v>1058.88709429326</v>
      </c>
      <c r="AL31" s="18" t="n">
        <f aca="false">X31+SUM($AK$5:AK31)-SUM($AE$5:AE31)-SUM($AG$5:AG31)</f>
        <v>325853.508568389</v>
      </c>
      <c r="AM31" s="45" t="n">
        <f aca="false">IF(AJ31&gt;=0,A31,999)</f>
        <v>27</v>
      </c>
    </row>
    <row r="32" customFormat="false" ht="15" hidden="false" customHeight="false" outlineLevel="0" collapsed="false">
      <c r="A32" s="25" t="n">
        <v>28</v>
      </c>
      <c r="B32" s="45" t="n">
        <f aca="false">INT((A32-1)/12)+1</f>
        <v>3</v>
      </c>
      <c r="C32" s="45" t="n">
        <f aca="false">MOD(Ipotesi!$B$7-1+A32-1,12)+1</f>
        <v>2</v>
      </c>
      <c r="D32" s="46" t="n">
        <f aca="false">INDEX(Ipotesi!$B$58:$B$69,C32)</f>
        <v>1</v>
      </c>
      <c r="E32" s="45" t="n">
        <f aca="false">Ipotesi!$D$47*MIN(1,(A32/Ipotesi!$B$18)^2)*(1+Ipotesi!$D$48)^(MAX(0,A32-12)/12)*D32</f>
        <v>25756.07045745</v>
      </c>
      <c r="F32" s="20" t="n">
        <f aca="false">E32*Ipotesi!$D$49</f>
        <v>90.1462466010749</v>
      </c>
      <c r="G32" s="20" t="n">
        <f aca="false">F32*Ipotesi!$D$50</f>
        <v>40.5658109704837</v>
      </c>
      <c r="H32" s="20" t="n">
        <f aca="false">G32*Ipotesi!$D$51</f>
        <v>24.3394865822902</v>
      </c>
      <c r="I32" s="20" t="n">
        <f aca="false">IF(A32&lt;=12,Ipotesi!$B$42,Ipotesi!$B$43)</f>
        <v>10.0418410041841</v>
      </c>
      <c r="J32" s="20" t="n">
        <f aca="false">MIN(H32,I32)</f>
        <v>10.0418410041841</v>
      </c>
      <c r="K32" s="20" t="n">
        <f aca="false">H32-J32</f>
        <v>14.2976455781061</v>
      </c>
      <c r="L32" s="18" t="n">
        <f aca="false">J32*Ipotesi!$B$37</f>
        <v>20435.1464435146</v>
      </c>
      <c r="M32" s="18" t="n">
        <f aca="false">(G32-J32)*Ipotesi!$B$19</f>
        <v>3052.39699662996</v>
      </c>
      <c r="N32" s="18" t="n">
        <f aca="false">IF(A32&gt;=Ipotesi!$B$26,Ipotesi!$D$52*Ipotesi!$B$25/12,0)</f>
        <v>1000</v>
      </c>
      <c r="O32" s="18" t="n">
        <f aca="false">IF(A32&gt;=Ipotesi!$B$27,Ipotesi!$D$53,0)</f>
        <v>1500</v>
      </c>
      <c r="P32" s="18" t="n">
        <f aca="false">SUM(L32:O32)</f>
        <v>25987.5434401446</v>
      </c>
      <c r="Q32" s="18" t="n">
        <f aca="false">IF(A32=1,Ipotesi!$B$10+Ipotesi!$B$11,0)+Ipotesi!$B$8*Ipotesi!$B$9+Ipotesi!$B$12+Ipotesi!$B$13+Ipotesi!$B$16*52/12*Ipotesi!$B$17</f>
        <v>620</v>
      </c>
      <c r="R32" s="18" t="n">
        <f aca="false">Ipotesi!$B$14*52/12*Ipotesi!$B$15</f>
        <v>1040</v>
      </c>
      <c r="S32" s="18" t="n">
        <f aca="false">J32*IF(A32&lt;=12,Ipotesi!$B$38,Ipotesi!$B$39)*Ipotesi!$B$22</f>
        <v>5400</v>
      </c>
      <c r="T32" s="18" t="n">
        <f aca="false">P32-Q32-R32-S32</f>
        <v>18927.5434401446</v>
      </c>
      <c r="U32" s="18" t="n">
        <f aca="false">U31+T32</f>
        <v>378149.160625048</v>
      </c>
      <c r="V32" s="18" t="n">
        <f aca="false">L32*Ipotesi!$B$20+IF(A32&gt;Ipotesi!$B$21,INDEX($L$5:$L$40,A32-Ipotesi!$B$21)*(1-Ipotesi!$B$20),0)+M32+N32+O32</f>
        <v>25987.5434401446</v>
      </c>
      <c r="W32" s="18" t="n">
        <f aca="false">V32-Q32-S32</f>
        <v>19967.5434401446</v>
      </c>
      <c r="X32" s="18" t="n">
        <f aca="false">X31+W32</f>
        <v>345963.721294504</v>
      </c>
      <c r="Y32" s="45" t="n">
        <f aca="false">IF(U32&gt;=0,A32,999)</f>
        <v>28</v>
      </c>
      <c r="Z32" s="20" t="n">
        <f aca="false">F32*SUMPRODUCT((Social!$C$6:$C$11&lt;=A32)*Social!$B$6:$B$11*Social!$I$6:$I$11)</f>
        <v>27.0438739803225</v>
      </c>
      <c r="AA32" s="20" t="n">
        <f aca="false">Z32*Ipotesi!$D$50</f>
        <v>12.1697432911451</v>
      </c>
      <c r="AB32" s="20" t="n">
        <f aca="false">AA32*Ipotesi!$D$51</f>
        <v>7.30184597468706</v>
      </c>
      <c r="AC32" s="20" t="n">
        <f aca="false">MIN(AB32,MAX(0,I32-J32))</f>
        <v>0</v>
      </c>
      <c r="AD32" s="18" t="n">
        <f aca="false">AC32*Ipotesi!$B$37+(AA32-AC32)*Ipotesi!$B$19</f>
        <v>1216.97432911451</v>
      </c>
      <c r="AE32" s="18" t="n">
        <f aca="false">SUMPRODUCT((Social!$C$6:$C$11&lt;=A32)*Social!$J$6:$J$11)</f>
        <v>920</v>
      </c>
      <c r="AF32" s="18" t="n">
        <f aca="false">SUMPRODUCT((Social!$C$6:$C$11&lt;=A32)*Social!$K$6:$K$11)</f>
        <v>433.333333333333</v>
      </c>
      <c r="AG32" s="18" t="n">
        <f aca="false">AC32*IF(A32&lt;=12,Ipotesi!$B$38,Ipotesi!$B$39)*Ipotesi!$B$22</f>
        <v>0</v>
      </c>
      <c r="AH32" s="18" t="n">
        <f aca="false">AD32-AE32-AF32-AG32</f>
        <v>-136.359004218823</v>
      </c>
      <c r="AI32" s="18" t="n">
        <f aca="false">AI31+AH32</f>
        <v>-10939.0282901891</v>
      </c>
      <c r="AJ32" s="18" t="n">
        <f aca="false">U32+AI32</f>
        <v>367210.132334859</v>
      </c>
      <c r="AK32" s="18" t="n">
        <f aca="false">AC32*Ipotesi!$B$37*Ipotesi!$B$20+IF(A32&gt;Ipotesi!$B$21,INDEX($AC$5:$AC$40,A32-Ipotesi!$B$21)*Ipotesi!$B$37*(1-Ipotesi!$B$20),0)+(AA32-AC32)*Ipotesi!$B$19</f>
        <v>1216.97432911451</v>
      </c>
      <c r="AL32" s="18" t="n">
        <f aca="false">X32+SUM($AK$5:AK32)-SUM($AE$5:AE32)-SUM($AG$5:AG32)</f>
        <v>346118.026337648</v>
      </c>
      <c r="AM32" s="45" t="n">
        <f aca="false">IF(AJ32&gt;=0,A32,999)</f>
        <v>28</v>
      </c>
    </row>
    <row r="33" customFormat="false" ht="15" hidden="false" customHeight="false" outlineLevel="0" collapsed="false">
      <c r="A33" s="25" t="n">
        <v>29</v>
      </c>
      <c r="B33" s="45" t="n">
        <f aca="false">INT((A33-1)/12)+1</f>
        <v>3</v>
      </c>
      <c r="C33" s="45" t="n">
        <f aca="false">MOD(Ipotesi!$B$7-1+A33-1,12)+1</f>
        <v>3</v>
      </c>
      <c r="D33" s="46" t="n">
        <f aca="false">INDEX(Ipotesi!$B$58:$B$69,C33)</f>
        <v>1.1</v>
      </c>
      <c r="E33" s="45" t="n">
        <f aca="false">Ipotesi!$D$47*MIN(1,(A33/Ipotesi!$B$18)^2)*(1+Ipotesi!$D$48)^(MAX(0,A33-12)/12)*D33</f>
        <v>29305.3262875364</v>
      </c>
      <c r="F33" s="20" t="n">
        <f aca="false">E33*Ipotesi!$D$49</f>
        <v>102.568642006377</v>
      </c>
      <c r="G33" s="20" t="n">
        <f aca="false">F33*Ipotesi!$D$50</f>
        <v>46.1558889028699</v>
      </c>
      <c r="H33" s="20" t="n">
        <f aca="false">G33*Ipotesi!$D$51</f>
        <v>27.6935333417219</v>
      </c>
      <c r="I33" s="20" t="n">
        <f aca="false">IF(A33&lt;=12,Ipotesi!$B$42,Ipotesi!$B$43)</f>
        <v>10.0418410041841</v>
      </c>
      <c r="J33" s="20" t="n">
        <f aca="false">MIN(H33,I33)</f>
        <v>10.0418410041841</v>
      </c>
      <c r="K33" s="20" t="n">
        <f aca="false">H33-J33</f>
        <v>17.6516923375378</v>
      </c>
      <c r="L33" s="18" t="n">
        <f aca="false">J33*Ipotesi!$B$37</f>
        <v>20435.1464435146</v>
      </c>
      <c r="M33" s="18" t="n">
        <f aca="false">(G33-J33)*Ipotesi!$B$19</f>
        <v>3611.40478986858</v>
      </c>
      <c r="N33" s="18" t="n">
        <f aca="false">IF(A33&gt;=Ipotesi!$B$26,Ipotesi!$D$52*Ipotesi!$B$25/12,0)</f>
        <v>1000</v>
      </c>
      <c r="O33" s="18" t="n">
        <f aca="false">IF(A33&gt;=Ipotesi!$B$27,Ipotesi!$D$53,0)</f>
        <v>1500</v>
      </c>
      <c r="P33" s="18" t="n">
        <f aca="false">SUM(L33:O33)</f>
        <v>26546.5512333832</v>
      </c>
      <c r="Q33" s="18" t="n">
        <f aca="false">IF(A33=1,Ipotesi!$B$10+Ipotesi!$B$11,0)+Ipotesi!$B$8*Ipotesi!$B$9+Ipotesi!$B$12+Ipotesi!$B$13+Ipotesi!$B$16*52/12*Ipotesi!$B$17</f>
        <v>620</v>
      </c>
      <c r="R33" s="18" t="n">
        <f aca="false">Ipotesi!$B$14*52/12*Ipotesi!$B$15</f>
        <v>1040</v>
      </c>
      <c r="S33" s="18" t="n">
        <f aca="false">J33*IF(A33&lt;=12,Ipotesi!$B$38,Ipotesi!$B$39)*Ipotesi!$B$22</f>
        <v>5400</v>
      </c>
      <c r="T33" s="18" t="n">
        <f aca="false">P33-Q33-R33-S33</f>
        <v>19486.5512333832</v>
      </c>
      <c r="U33" s="18" t="n">
        <f aca="false">U32+T33</f>
        <v>397635.711858431</v>
      </c>
      <c r="V33" s="18" t="n">
        <f aca="false">L33*Ipotesi!$B$20+IF(A33&gt;Ipotesi!$B$21,INDEX($L$5:$L$40,A33-Ipotesi!$B$21)*(1-Ipotesi!$B$20),0)+M33+N33+O33</f>
        <v>26546.5512333832</v>
      </c>
      <c r="W33" s="18" t="n">
        <f aca="false">V33-Q33-S33</f>
        <v>20526.5512333832</v>
      </c>
      <c r="X33" s="18" t="n">
        <f aca="false">X32+W33</f>
        <v>366490.272527887</v>
      </c>
      <c r="Y33" s="45" t="n">
        <f aca="false">IF(U33&gt;=0,A33,999)</f>
        <v>29</v>
      </c>
      <c r="Z33" s="20" t="n">
        <f aca="false">F33*SUMPRODUCT((Social!$C$6:$C$11&lt;=A33)*Social!$B$6:$B$11*Social!$I$6:$I$11)</f>
        <v>30.7705926019132</v>
      </c>
      <c r="AA33" s="20" t="n">
        <f aca="false">Z33*Ipotesi!$D$50</f>
        <v>13.846766670861</v>
      </c>
      <c r="AB33" s="20" t="n">
        <f aca="false">AA33*Ipotesi!$D$51</f>
        <v>8.30806000251657</v>
      </c>
      <c r="AC33" s="20" t="n">
        <f aca="false">MIN(AB33,MAX(0,I33-J33))</f>
        <v>0</v>
      </c>
      <c r="AD33" s="18" t="n">
        <f aca="false">AC33*Ipotesi!$B$37+(AA33-AC33)*Ipotesi!$B$19</f>
        <v>1384.6766670861</v>
      </c>
      <c r="AE33" s="18" t="n">
        <f aca="false">SUMPRODUCT((Social!$C$6:$C$11&lt;=A33)*Social!$J$6:$J$11)</f>
        <v>920</v>
      </c>
      <c r="AF33" s="18" t="n">
        <f aca="false">SUMPRODUCT((Social!$C$6:$C$11&lt;=A33)*Social!$K$6:$K$11)</f>
        <v>433.333333333333</v>
      </c>
      <c r="AG33" s="18" t="n">
        <f aca="false">AC33*IF(A33&lt;=12,Ipotesi!$B$38,Ipotesi!$B$39)*Ipotesi!$B$22</f>
        <v>0</v>
      </c>
      <c r="AH33" s="18" t="n">
        <f aca="false">AD33-AE33-AF33-AG33</f>
        <v>31.3433337527624</v>
      </c>
      <c r="AI33" s="18" t="n">
        <f aca="false">AI32+AH33</f>
        <v>-10907.6849564363</v>
      </c>
      <c r="AJ33" s="18" t="n">
        <f aca="false">U33+AI33</f>
        <v>386728.026901995</v>
      </c>
      <c r="AK33" s="18" t="n">
        <f aca="false">AC33*Ipotesi!$B$37*Ipotesi!$B$20+IF(A33&gt;Ipotesi!$B$21,INDEX($AC$5:$AC$40,A33-Ipotesi!$B$21)*Ipotesi!$B$37*(1-Ipotesi!$B$20),0)+(AA33-AC33)*Ipotesi!$B$19</f>
        <v>1384.6766670861</v>
      </c>
      <c r="AL33" s="18" t="n">
        <f aca="false">X33+SUM($AK$5:AK33)-SUM($AE$5:AE33)-SUM($AG$5:AG33)</f>
        <v>367109.254238118</v>
      </c>
      <c r="AM33" s="45" t="n">
        <f aca="false">IF(AJ33&gt;=0,A33,999)</f>
        <v>29</v>
      </c>
    </row>
    <row r="34" customFormat="false" ht="15" hidden="false" customHeight="false" outlineLevel="0" collapsed="false">
      <c r="A34" s="25" t="n">
        <v>30</v>
      </c>
      <c r="B34" s="45" t="n">
        <f aca="false">INT((A34-1)/12)+1</f>
        <v>3</v>
      </c>
      <c r="C34" s="45" t="n">
        <f aca="false">MOD(Ipotesi!$B$7-1+A34-1,12)+1</f>
        <v>4</v>
      </c>
      <c r="D34" s="46" t="n">
        <f aca="false">INDEX(Ipotesi!$B$58:$B$69,C34)</f>
        <v>1.2</v>
      </c>
      <c r="E34" s="45" t="n">
        <f aca="false">Ipotesi!$D$47*MIN(1,(A34/Ipotesi!$B$18)^2)*(1+Ipotesi!$D$48)^(MAX(0,A34-12)/12)*D34</f>
        <v>33068.1115275729</v>
      </c>
      <c r="F34" s="20" t="n">
        <f aca="false">E34*Ipotesi!$D$49</f>
        <v>115.738390346505</v>
      </c>
      <c r="G34" s="20" t="n">
        <f aca="false">F34*Ipotesi!$D$50</f>
        <v>52.0822756559273</v>
      </c>
      <c r="H34" s="20" t="n">
        <f aca="false">G34*Ipotesi!$D$51</f>
        <v>31.2493653935564</v>
      </c>
      <c r="I34" s="20" t="n">
        <f aca="false">IF(A34&lt;=12,Ipotesi!$B$42,Ipotesi!$B$43)</f>
        <v>10.0418410041841</v>
      </c>
      <c r="J34" s="20" t="n">
        <f aca="false">MIN(H34,I34)</f>
        <v>10.0418410041841</v>
      </c>
      <c r="K34" s="20" t="n">
        <f aca="false">H34-J34</f>
        <v>21.2075243893723</v>
      </c>
      <c r="L34" s="18" t="n">
        <f aca="false">J34*Ipotesi!$B$37</f>
        <v>20435.1464435146</v>
      </c>
      <c r="M34" s="18" t="n">
        <f aca="false">(G34-J34)*Ipotesi!$B$19</f>
        <v>4204.04346517432</v>
      </c>
      <c r="N34" s="18" t="n">
        <f aca="false">IF(A34&gt;=Ipotesi!$B$26,Ipotesi!$D$52*Ipotesi!$B$25/12,0)</f>
        <v>1000</v>
      </c>
      <c r="O34" s="18" t="n">
        <f aca="false">IF(A34&gt;=Ipotesi!$B$27,Ipotesi!$D$53,0)</f>
        <v>1500</v>
      </c>
      <c r="P34" s="18" t="n">
        <f aca="false">SUM(L34:O34)</f>
        <v>27139.189908689</v>
      </c>
      <c r="Q34" s="18" t="n">
        <f aca="false">IF(A34=1,Ipotesi!$B$10+Ipotesi!$B$11,0)+Ipotesi!$B$8*Ipotesi!$B$9+Ipotesi!$B$12+Ipotesi!$B$13+Ipotesi!$B$16*52/12*Ipotesi!$B$17</f>
        <v>620</v>
      </c>
      <c r="R34" s="18" t="n">
        <f aca="false">Ipotesi!$B$14*52/12*Ipotesi!$B$15</f>
        <v>1040</v>
      </c>
      <c r="S34" s="18" t="n">
        <f aca="false">J34*IF(A34&lt;=12,Ipotesi!$B$38,Ipotesi!$B$39)*Ipotesi!$B$22</f>
        <v>5400</v>
      </c>
      <c r="T34" s="18" t="n">
        <f aca="false">P34-Q34-R34-S34</f>
        <v>20079.189908689</v>
      </c>
      <c r="U34" s="18" t="n">
        <f aca="false">U33+T34</f>
        <v>417714.90176712</v>
      </c>
      <c r="V34" s="18" t="n">
        <f aca="false">L34*Ipotesi!$B$20+IF(A34&gt;Ipotesi!$B$21,INDEX($L$5:$L$40,A34-Ipotesi!$B$21)*(1-Ipotesi!$B$20),0)+M34+N34+O34</f>
        <v>27139.189908689</v>
      </c>
      <c r="W34" s="18" t="n">
        <f aca="false">V34-Q34-S34</f>
        <v>21119.189908689</v>
      </c>
      <c r="X34" s="18" t="n">
        <f aca="false">X33+W34</f>
        <v>387609.462436576</v>
      </c>
      <c r="Y34" s="45" t="n">
        <f aca="false">IF(U34&gt;=0,A34,999)</f>
        <v>30</v>
      </c>
      <c r="Z34" s="20" t="n">
        <f aca="false">F34*SUMPRODUCT((Social!$C$6:$C$11&lt;=A34)*Social!$B$6:$B$11*Social!$I$6:$I$11)</f>
        <v>34.7215171039516</v>
      </c>
      <c r="AA34" s="20" t="n">
        <f aca="false">Z34*Ipotesi!$D$50</f>
        <v>15.6246826967782</v>
      </c>
      <c r="AB34" s="20" t="n">
        <f aca="false">AA34*Ipotesi!$D$51</f>
        <v>9.37480961806692</v>
      </c>
      <c r="AC34" s="20" t="n">
        <f aca="false">MIN(AB34,MAX(0,I34-J34))</f>
        <v>0</v>
      </c>
      <c r="AD34" s="18" t="n">
        <f aca="false">AC34*Ipotesi!$B$37+(AA34-AC34)*Ipotesi!$B$19</f>
        <v>1562.46826967782</v>
      </c>
      <c r="AE34" s="18" t="n">
        <f aca="false">SUMPRODUCT((Social!$C$6:$C$11&lt;=A34)*Social!$J$6:$J$11)</f>
        <v>920</v>
      </c>
      <c r="AF34" s="18" t="n">
        <f aca="false">SUMPRODUCT((Social!$C$6:$C$11&lt;=A34)*Social!$K$6:$K$11)</f>
        <v>433.333333333333</v>
      </c>
      <c r="AG34" s="18" t="n">
        <f aca="false">AC34*IF(A34&lt;=12,Ipotesi!$B$38,Ipotesi!$B$39)*Ipotesi!$B$22</f>
        <v>0</v>
      </c>
      <c r="AH34" s="18" t="n">
        <f aca="false">AD34-AE34-AF34-AG34</f>
        <v>209.134936344487</v>
      </c>
      <c r="AI34" s="18" t="n">
        <f aca="false">AI33+AH34</f>
        <v>-10698.5500200918</v>
      </c>
      <c r="AJ34" s="18" t="n">
        <f aca="false">U34+AI34</f>
        <v>407016.351747028</v>
      </c>
      <c r="AK34" s="18" t="n">
        <f aca="false">AC34*Ipotesi!$B$37*Ipotesi!$B$20+IF(A34&gt;Ipotesi!$B$21,INDEX($AC$5:$AC$40,A34-Ipotesi!$B$21)*Ipotesi!$B$37*(1-Ipotesi!$B$20),0)+(AA34-AC34)*Ipotesi!$B$19</f>
        <v>1562.46826967782</v>
      </c>
      <c r="AL34" s="18" t="n">
        <f aca="false">X34+SUM($AK$5:AK34)-SUM($AE$5:AE34)-SUM($AG$5:AG34)</f>
        <v>388870.912416484</v>
      </c>
      <c r="AM34" s="45" t="n">
        <f aca="false">IF(AJ34&gt;=0,A34,999)</f>
        <v>30</v>
      </c>
    </row>
    <row r="35" customFormat="false" ht="15" hidden="false" customHeight="false" outlineLevel="0" collapsed="false">
      <c r="A35" s="25" t="n">
        <v>31</v>
      </c>
      <c r="B35" s="45" t="n">
        <f aca="false">INT((A35-1)/12)+1</f>
        <v>3</v>
      </c>
      <c r="C35" s="45" t="n">
        <f aca="false">MOD(Ipotesi!$B$7-1+A35-1,12)+1</f>
        <v>5</v>
      </c>
      <c r="D35" s="46" t="n">
        <f aca="false">INDEX(Ipotesi!$B$58:$B$69,C35)</f>
        <v>1.1</v>
      </c>
      <c r="E35" s="45" t="n">
        <f aca="false">Ipotesi!$D$47*MIN(1,(A35/Ipotesi!$B$18)^2)*(1+Ipotesi!$D$48)^(MAX(0,A35-12)/12)*D35</f>
        <v>31354.1552475662</v>
      </c>
      <c r="F35" s="20" t="n">
        <f aca="false">E35*Ipotesi!$D$49</f>
        <v>109.739543366482</v>
      </c>
      <c r="G35" s="20" t="n">
        <f aca="false">F35*Ipotesi!$D$50</f>
        <v>49.3827945149168</v>
      </c>
      <c r="H35" s="20" t="n">
        <f aca="false">G35*Ipotesi!$D$51</f>
        <v>29.6296767089501</v>
      </c>
      <c r="I35" s="20" t="n">
        <f aca="false">IF(A35&lt;=12,Ipotesi!$B$42,Ipotesi!$B$43)</f>
        <v>10.0418410041841</v>
      </c>
      <c r="J35" s="20" t="n">
        <f aca="false">MIN(H35,I35)</f>
        <v>10.0418410041841</v>
      </c>
      <c r="K35" s="20" t="n">
        <f aca="false">H35-J35</f>
        <v>19.587835704766</v>
      </c>
      <c r="L35" s="18" t="n">
        <f aca="false">J35*Ipotesi!$B$37</f>
        <v>20435.1464435146</v>
      </c>
      <c r="M35" s="18" t="n">
        <f aca="false">(G35-J35)*Ipotesi!$B$19</f>
        <v>3934.09535107327</v>
      </c>
      <c r="N35" s="18" t="n">
        <f aca="false">IF(A35&gt;=Ipotesi!$B$26,Ipotesi!$D$52*Ipotesi!$B$25/12,0)</f>
        <v>1000</v>
      </c>
      <c r="O35" s="18" t="n">
        <f aca="false">IF(A35&gt;=Ipotesi!$B$27,Ipotesi!$D$53,0)</f>
        <v>1500</v>
      </c>
      <c r="P35" s="18" t="n">
        <f aca="false">SUM(L35:O35)</f>
        <v>26869.2417945879</v>
      </c>
      <c r="Q35" s="18" t="n">
        <f aca="false">IF(A35=1,Ipotesi!$B$10+Ipotesi!$B$11,0)+Ipotesi!$B$8*Ipotesi!$B$9+Ipotesi!$B$12+Ipotesi!$B$13+Ipotesi!$B$16*52/12*Ipotesi!$B$17</f>
        <v>620</v>
      </c>
      <c r="R35" s="18" t="n">
        <f aca="false">Ipotesi!$B$14*52/12*Ipotesi!$B$15</f>
        <v>1040</v>
      </c>
      <c r="S35" s="18" t="n">
        <f aca="false">J35*IF(A35&lt;=12,Ipotesi!$B$38,Ipotesi!$B$39)*Ipotesi!$B$22</f>
        <v>5400</v>
      </c>
      <c r="T35" s="18" t="n">
        <f aca="false">P35-Q35-R35-S35</f>
        <v>19809.2417945879</v>
      </c>
      <c r="U35" s="18" t="n">
        <f aca="false">U34+T35</f>
        <v>437524.143561708</v>
      </c>
      <c r="V35" s="18" t="n">
        <f aca="false">L35*Ipotesi!$B$20+IF(A35&gt;Ipotesi!$B$21,INDEX($L$5:$L$40,A35-Ipotesi!$B$21)*(1-Ipotesi!$B$20),0)+M35+N35+O35</f>
        <v>26869.2417945879</v>
      </c>
      <c r="W35" s="18" t="n">
        <f aca="false">V35-Q35-S35</f>
        <v>20849.2417945879</v>
      </c>
      <c r="X35" s="18" t="n">
        <f aca="false">X34+W35</f>
        <v>408458.704231164</v>
      </c>
      <c r="Y35" s="45" t="n">
        <f aca="false">IF(U35&gt;=0,A35,999)</f>
        <v>31</v>
      </c>
      <c r="Z35" s="20" t="n">
        <f aca="false">F35*SUMPRODUCT((Social!$C$6:$C$11&lt;=A35)*Social!$B$6:$B$11*Social!$I$6:$I$11)</f>
        <v>32.9218630099445</v>
      </c>
      <c r="AA35" s="20" t="n">
        <f aca="false">Z35*Ipotesi!$D$50</f>
        <v>14.814838354475</v>
      </c>
      <c r="AB35" s="20" t="n">
        <f aca="false">AA35*Ipotesi!$D$51</f>
        <v>8.88890301268502</v>
      </c>
      <c r="AC35" s="20" t="n">
        <f aca="false">MIN(AB35,MAX(0,I35-J35))</f>
        <v>0</v>
      </c>
      <c r="AD35" s="18" t="n">
        <f aca="false">AC35*Ipotesi!$B$37+(AA35-AC35)*Ipotesi!$B$19</f>
        <v>1481.4838354475</v>
      </c>
      <c r="AE35" s="18" t="n">
        <f aca="false">SUMPRODUCT((Social!$C$6:$C$11&lt;=A35)*Social!$J$6:$J$11)</f>
        <v>920</v>
      </c>
      <c r="AF35" s="18" t="n">
        <f aca="false">SUMPRODUCT((Social!$C$6:$C$11&lt;=A35)*Social!$K$6:$K$11)</f>
        <v>433.333333333333</v>
      </c>
      <c r="AG35" s="18" t="n">
        <f aca="false">AC35*IF(A35&lt;=12,Ipotesi!$B$38,Ipotesi!$B$39)*Ipotesi!$B$22</f>
        <v>0</v>
      </c>
      <c r="AH35" s="18" t="n">
        <f aca="false">AD35-AE35-AF35-AG35</f>
        <v>128.150502114171</v>
      </c>
      <c r="AI35" s="18" t="n">
        <f aca="false">AI34+AH35</f>
        <v>-10570.3995179777</v>
      </c>
      <c r="AJ35" s="18" t="n">
        <f aca="false">U35+AI35</f>
        <v>426953.74404373</v>
      </c>
      <c r="AK35" s="18" t="n">
        <f aca="false">AC35*Ipotesi!$B$37*Ipotesi!$B$20+IF(A35&gt;Ipotesi!$B$21,INDEX($AC$5:$AC$40,A35-Ipotesi!$B$21)*Ipotesi!$B$37*(1-Ipotesi!$B$20),0)+(AA35-AC35)*Ipotesi!$B$19</f>
        <v>1481.4838354475</v>
      </c>
      <c r="AL35" s="18" t="n">
        <f aca="false">X35+SUM($AK$5:AK35)-SUM($AE$5:AE35)-SUM($AG$5:AG35)</f>
        <v>410281.63804652</v>
      </c>
      <c r="AM35" s="45" t="n">
        <f aca="false">IF(AJ35&gt;=0,A35,999)</f>
        <v>31</v>
      </c>
    </row>
    <row r="36" customFormat="false" ht="15" hidden="false" customHeight="false" outlineLevel="0" collapsed="false">
      <c r="A36" s="25" t="n">
        <v>32</v>
      </c>
      <c r="B36" s="45" t="n">
        <f aca="false">INT((A36-1)/12)+1</f>
        <v>3</v>
      </c>
      <c r="C36" s="45" t="n">
        <f aca="false">MOD(Ipotesi!$B$7-1+A36-1,12)+1</f>
        <v>6</v>
      </c>
      <c r="D36" s="46" t="n">
        <f aca="false">INDEX(Ipotesi!$B$58:$B$69,C36)</f>
        <v>1</v>
      </c>
      <c r="E36" s="45" t="n">
        <f aca="false">Ipotesi!$D$47*MIN(1,(A36/Ipotesi!$B$18)^2)*(1+Ipotesi!$D$48)^(MAX(0,A36-12)/12)*D36</f>
        <v>29483.3406848501</v>
      </c>
      <c r="F36" s="20" t="n">
        <f aca="false">E36*Ipotesi!$D$49</f>
        <v>103.191692396975</v>
      </c>
      <c r="G36" s="20" t="n">
        <f aca="false">F36*Ipotesi!$D$50</f>
        <v>46.4362615786389</v>
      </c>
      <c r="H36" s="20" t="n">
        <f aca="false">G36*Ipotesi!$D$51</f>
        <v>27.8617569471833</v>
      </c>
      <c r="I36" s="20" t="n">
        <f aca="false">IF(A36&lt;=12,Ipotesi!$B$42,Ipotesi!$B$43)</f>
        <v>10.0418410041841</v>
      </c>
      <c r="J36" s="20" t="n">
        <f aca="false">MIN(H36,I36)</f>
        <v>10.0418410041841</v>
      </c>
      <c r="K36" s="20" t="n">
        <f aca="false">H36-J36</f>
        <v>17.8199159429992</v>
      </c>
      <c r="L36" s="18" t="n">
        <f aca="false">J36*Ipotesi!$B$37</f>
        <v>20435.1464435146</v>
      </c>
      <c r="M36" s="18" t="n">
        <f aca="false">(G36-J36)*Ipotesi!$B$19</f>
        <v>3639.44205744548</v>
      </c>
      <c r="N36" s="18" t="n">
        <f aca="false">IF(A36&gt;=Ipotesi!$B$26,Ipotesi!$D$52*Ipotesi!$B$25/12,0)</f>
        <v>1000</v>
      </c>
      <c r="O36" s="18" t="n">
        <f aca="false">IF(A36&gt;=Ipotesi!$B$27,Ipotesi!$D$53,0)</f>
        <v>1500</v>
      </c>
      <c r="P36" s="18" t="n">
        <f aca="false">SUM(L36:O36)</f>
        <v>26574.5885009601</v>
      </c>
      <c r="Q36" s="18" t="n">
        <f aca="false">IF(A36=1,Ipotesi!$B$10+Ipotesi!$B$11,0)+Ipotesi!$B$8*Ipotesi!$B$9+Ipotesi!$B$12+Ipotesi!$B$13+Ipotesi!$B$16*52/12*Ipotesi!$B$17</f>
        <v>620</v>
      </c>
      <c r="R36" s="18" t="n">
        <f aca="false">Ipotesi!$B$14*52/12*Ipotesi!$B$15</f>
        <v>1040</v>
      </c>
      <c r="S36" s="18" t="n">
        <f aca="false">J36*IF(A36&lt;=12,Ipotesi!$B$38,Ipotesi!$B$39)*Ipotesi!$B$22</f>
        <v>5400</v>
      </c>
      <c r="T36" s="18" t="n">
        <f aca="false">P36-Q36-R36-S36</f>
        <v>19514.5885009601</v>
      </c>
      <c r="U36" s="18" t="n">
        <f aca="false">U35+T36</f>
        <v>457038.732062668</v>
      </c>
      <c r="V36" s="18" t="n">
        <f aca="false">L36*Ipotesi!$B$20+IF(A36&gt;Ipotesi!$B$21,INDEX($L$5:$L$40,A36-Ipotesi!$B$21)*(1-Ipotesi!$B$20),0)+M36+N36+O36</f>
        <v>26574.5885009601</v>
      </c>
      <c r="W36" s="18" t="n">
        <f aca="false">V36-Q36-S36</f>
        <v>20554.5885009601</v>
      </c>
      <c r="X36" s="18" t="n">
        <f aca="false">X35+W36</f>
        <v>429013.292732124</v>
      </c>
      <c r="Y36" s="45" t="n">
        <f aca="false">IF(U36&gt;=0,A36,999)</f>
        <v>32</v>
      </c>
      <c r="Z36" s="20" t="n">
        <f aca="false">F36*SUMPRODUCT((Social!$C$6:$C$11&lt;=A36)*Social!$B$6:$B$11*Social!$I$6:$I$11)</f>
        <v>30.9575077190926</v>
      </c>
      <c r="AA36" s="20" t="n">
        <f aca="false">Z36*Ipotesi!$D$50</f>
        <v>13.9308784735917</v>
      </c>
      <c r="AB36" s="20" t="n">
        <f aca="false">AA36*Ipotesi!$D$51</f>
        <v>8.358527084155</v>
      </c>
      <c r="AC36" s="20" t="n">
        <f aca="false">MIN(AB36,MAX(0,I36-J36))</f>
        <v>0</v>
      </c>
      <c r="AD36" s="18" t="n">
        <f aca="false">AC36*Ipotesi!$B$37+(AA36-AC36)*Ipotesi!$B$19</f>
        <v>1393.08784735917</v>
      </c>
      <c r="AE36" s="18" t="n">
        <f aca="false">SUMPRODUCT((Social!$C$6:$C$11&lt;=A36)*Social!$J$6:$J$11)</f>
        <v>920</v>
      </c>
      <c r="AF36" s="18" t="n">
        <f aca="false">SUMPRODUCT((Social!$C$6:$C$11&lt;=A36)*Social!$K$6:$K$11)</f>
        <v>433.333333333333</v>
      </c>
      <c r="AG36" s="18" t="n">
        <f aca="false">AC36*IF(A36&lt;=12,Ipotesi!$B$38,Ipotesi!$B$39)*Ipotesi!$B$22</f>
        <v>0</v>
      </c>
      <c r="AH36" s="18" t="n">
        <f aca="false">AD36-AE36-AF36-AG36</f>
        <v>39.7545140258335</v>
      </c>
      <c r="AI36" s="18" t="n">
        <f aca="false">AI35+AH36</f>
        <v>-10530.6450039518</v>
      </c>
      <c r="AJ36" s="18" t="n">
        <f aca="false">U36+AI36</f>
        <v>446508.087058716</v>
      </c>
      <c r="AK36" s="18" t="n">
        <f aca="false">AC36*Ipotesi!$B$37*Ipotesi!$B$20+IF(A36&gt;Ipotesi!$B$21,INDEX($AC$5:$AC$40,A36-Ipotesi!$B$21)*Ipotesi!$B$37*(1-Ipotesi!$B$20),0)+(AA36-AC36)*Ipotesi!$B$19</f>
        <v>1393.08784735917</v>
      </c>
      <c r="AL36" s="18" t="n">
        <f aca="false">X36+SUM($AK$5:AK36)-SUM($AE$5:AE36)-SUM($AG$5:AG36)</f>
        <v>431309.314394839</v>
      </c>
      <c r="AM36" s="45" t="n">
        <f aca="false">IF(AJ36&gt;=0,A36,999)</f>
        <v>32</v>
      </c>
    </row>
    <row r="37" customFormat="false" ht="15" hidden="false" customHeight="false" outlineLevel="0" collapsed="false">
      <c r="A37" s="25" t="n">
        <v>33</v>
      </c>
      <c r="B37" s="45" t="n">
        <f aca="false">INT((A37-1)/12)+1</f>
        <v>3</v>
      </c>
      <c r="C37" s="45" t="n">
        <f aca="false">MOD(Ipotesi!$B$7-1+A37-1,12)+1</f>
        <v>7</v>
      </c>
      <c r="D37" s="46" t="n">
        <f aca="false">INDEX(Ipotesi!$B$58:$B$69,C37)</f>
        <v>1</v>
      </c>
      <c r="E37" s="45" t="n">
        <f aca="false">Ipotesi!$D$47*MIN(1,(A37/Ipotesi!$B$18)^2)*(1+Ipotesi!$D$48)^(MAX(0,A37-12)/12)*D37</f>
        <v>30496.5676218323</v>
      </c>
      <c r="F37" s="20" t="n">
        <f aca="false">E37*Ipotesi!$D$49</f>
        <v>106.737986676413</v>
      </c>
      <c r="G37" s="20" t="n">
        <f aca="false">F37*Ipotesi!$D$50</f>
        <v>48.0320940043858</v>
      </c>
      <c r="H37" s="20" t="n">
        <f aca="false">G37*Ipotesi!$D$51</f>
        <v>28.8192564026315</v>
      </c>
      <c r="I37" s="20" t="n">
        <f aca="false">IF(A37&lt;=12,Ipotesi!$B$42,Ipotesi!$B$43)</f>
        <v>10.0418410041841</v>
      </c>
      <c r="J37" s="20" t="n">
        <f aca="false">MIN(H37,I37)</f>
        <v>10.0418410041841</v>
      </c>
      <c r="K37" s="20" t="n">
        <f aca="false">H37-J37</f>
        <v>18.7774153984474</v>
      </c>
      <c r="L37" s="18" t="n">
        <f aca="false">J37*Ipotesi!$B$37</f>
        <v>20435.1464435146</v>
      </c>
      <c r="M37" s="18" t="n">
        <f aca="false">(G37-J37)*Ipotesi!$B$19</f>
        <v>3799.02530002017</v>
      </c>
      <c r="N37" s="18" t="n">
        <f aca="false">IF(A37&gt;=Ipotesi!$B$26,Ipotesi!$D$52*Ipotesi!$B$25/12,0)</f>
        <v>1000</v>
      </c>
      <c r="O37" s="18" t="n">
        <f aca="false">IF(A37&gt;=Ipotesi!$B$27,Ipotesi!$D$53,0)</f>
        <v>1500</v>
      </c>
      <c r="P37" s="18" t="n">
        <f aca="false">SUM(L37:O37)</f>
        <v>26734.1717435348</v>
      </c>
      <c r="Q37" s="18" t="n">
        <f aca="false">IF(A37=1,Ipotesi!$B$10+Ipotesi!$B$11,0)+Ipotesi!$B$8*Ipotesi!$B$9+Ipotesi!$B$12+Ipotesi!$B$13+Ipotesi!$B$16*52/12*Ipotesi!$B$17</f>
        <v>620</v>
      </c>
      <c r="R37" s="18" t="n">
        <f aca="false">Ipotesi!$B$14*52/12*Ipotesi!$B$15</f>
        <v>1040</v>
      </c>
      <c r="S37" s="18" t="n">
        <f aca="false">J37*IF(A37&lt;=12,Ipotesi!$B$38,Ipotesi!$B$39)*Ipotesi!$B$22</f>
        <v>5400</v>
      </c>
      <c r="T37" s="18" t="n">
        <f aca="false">P37-Q37-R37-S37</f>
        <v>19674.1717435348</v>
      </c>
      <c r="U37" s="18" t="n">
        <f aca="false">U36+T37</f>
        <v>476712.903806203</v>
      </c>
      <c r="V37" s="18" t="n">
        <f aca="false">L37*Ipotesi!$B$20+IF(A37&gt;Ipotesi!$B$21,INDEX($L$5:$L$40,A37-Ipotesi!$B$21)*(1-Ipotesi!$B$20),0)+M37+N37+O37</f>
        <v>26734.1717435348</v>
      </c>
      <c r="W37" s="18" t="n">
        <f aca="false">V37-Q37-S37</f>
        <v>20714.1717435348</v>
      </c>
      <c r="X37" s="18" t="n">
        <f aca="false">X36+W37</f>
        <v>449727.464475659</v>
      </c>
      <c r="Y37" s="45" t="n">
        <f aca="false">IF(U37&gt;=0,A37,999)</f>
        <v>33</v>
      </c>
      <c r="Z37" s="20" t="n">
        <f aca="false">F37*SUMPRODUCT((Social!$C$6:$C$11&lt;=A37)*Social!$B$6:$B$11*Social!$I$6:$I$11)</f>
        <v>32.0213960029239</v>
      </c>
      <c r="AA37" s="20" t="n">
        <f aca="false">Z37*Ipotesi!$D$50</f>
        <v>14.4096282013157</v>
      </c>
      <c r="AB37" s="20" t="n">
        <f aca="false">AA37*Ipotesi!$D$51</f>
        <v>8.64577692078944</v>
      </c>
      <c r="AC37" s="20" t="n">
        <f aca="false">MIN(AB37,MAX(0,I37-J37))</f>
        <v>0</v>
      </c>
      <c r="AD37" s="18" t="n">
        <f aca="false">AC37*Ipotesi!$B$37+(AA37-AC37)*Ipotesi!$B$19</f>
        <v>1440.96282013157</v>
      </c>
      <c r="AE37" s="18" t="n">
        <f aca="false">SUMPRODUCT((Social!$C$6:$C$11&lt;=A37)*Social!$J$6:$J$11)</f>
        <v>920</v>
      </c>
      <c r="AF37" s="18" t="n">
        <f aca="false">SUMPRODUCT((Social!$C$6:$C$11&lt;=A37)*Social!$K$6:$K$11)</f>
        <v>433.333333333333</v>
      </c>
      <c r="AG37" s="18" t="n">
        <f aca="false">AC37*IF(A37&lt;=12,Ipotesi!$B$38,Ipotesi!$B$39)*Ipotesi!$B$22</f>
        <v>0</v>
      </c>
      <c r="AH37" s="18" t="n">
        <f aca="false">AD37-AE37-AF37-AG37</f>
        <v>87.629486798241</v>
      </c>
      <c r="AI37" s="18" t="n">
        <f aca="false">AI36+AH37</f>
        <v>-10443.0155171536</v>
      </c>
      <c r="AJ37" s="18" t="n">
        <f aca="false">U37+AI37</f>
        <v>466269.888289049</v>
      </c>
      <c r="AK37" s="18" t="n">
        <f aca="false">AC37*Ipotesi!$B$37*Ipotesi!$B$20+IF(A37&gt;Ipotesi!$B$21,INDEX($AC$5:$AC$40,A37-Ipotesi!$B$21)*Ipotesi!$B$37*(1-Ipotesi!$B$20),0)+(AA37-AC37)*Ipotesi!$B$19</f>
        <v>1440.96282013157</v>
      </c>
      <c r="AL37" s="18" t="n">
        <f aca="false">X37+SUM($AK$5:AK37)-SUM($AE$5:AE37)-SUM($AG$5:AG37)</f>
        <v>452544.448958505</v>
      </c>
      <c r="AM37" s="45" t="n">
        <f aca="false">IF(AJ37&gt;=0,A37,999)</f>
        <v>33</v>
      </c>
    </row>
    <row r="38" customFormat="false" ht="15" hidden="false" customHeight="false" outlineLevel="0" collapsed="false">
      <c r="A38" s="25" t="n">
        <v>34</v>
      </c>
      <c r="B38" s="45" t="n">
        <f aca="false">INT((A38-1)/12)+1</f>
        <v>3</v>
      </c>
      <c r="C38" s="45" t="n">
        <f aca="false">MOD(Ipotesi!$B$7-1+A38-1,12)+1</f>
        <v>8</v>
      </c>
      <c r="D38" s="46" t="n">
        <f aca="false">INDEX(Ipotesi!$B$58:$B$69,C38)</f>
        <v>0.7</v>
      </c>
      <c r="E38" s="45" t="n">
        <f aca="false">Ipotesi!$D$47*MIN(1,(A38/Ipotesi!$B$18)^2)*(1+Ipotesi!$D$48)^(MAX(0,A38-12)/12)*D38</f>
        <v>22081.2306399736</v>
      </c>
      <c r="F38" s="20" t="n">
        <f aca="false">E38*Ipotesi!$D$49</f>
        <v>77.2843072399075</v>
      </c>
      <c r="G38" s="20" t="n">
        <f aca="false">F38*Ipotesi!$D$50</f>
        <v>34.7779382579584</v>
      </c>
      <c r="H38" s="20" t="n">
        <f aca="false">G38*Ipotesi!$D$51</f>
        <v>20.866762954775</v>
      </c>
      <c r="I38" s="20" t="n">
        <f aca="false">IF(A38&lt;=12,Ipotesi!$B$42,Ipotesi!$B$43)</f>
        <v>10.0418410041841</v>
      </c>
      <c r="J38" s="20" t="n">
        <f aca="false">MIN(H38,I38)</f>
        <v>10.0418410041841</v>
      </c>
      <c r="K38" s="20" t="n">
        <f aca="false">H38-J38</f>
        <v>10.8249219505909</v>
      </c>
      <c r="L38" s="18" t="n">
        <f aca="false">J38*Ipotesi!$B$37</f>
        <v>20435.1464435146</v>
      </c>
      <c r="M38" s="18" t="n">
        <f aca="false">(G38-J38)*Ipotesi!$B$19</f>
        <v>2473.60972537743</v>
      </c>
      <c r="N38" s="18" t="n">
        <f aca="false">IF(A38&gt;=Ipotesi!$B$26,Ipotesi!$D$52*Ipotesi!$B$25/12,0)</f>
        <v>1000</v>
      </c>
      <c r="O38" s="18" t="n">
        <f aca="false">IF(A38&gt;=Ipotesi!$B$27,Ipotesi!$D$53,0)</f>
        <v>1500</v>
      </c>
      <c r="P38" s="18" t="n">
        <f aca="false">SUM(L38:O38)</f>
        <v>25408.7561688921</v>
      </c>
      <c r="Q38" s="18" t="n">
        <f aca="false">IF(A38=1,Ipotesi!$B$10+Ipotesi!$B$11,0)+Ipotesi!$B$8*Ipotesi!$B$9+Ipotesi!$B$12+Ipotesi!$B$13+Ipotesi!$B$16*52/12*Ipotesi!$B$17</f>
        <v>620</v>
      </c>
      <c r="R38" s="18" t="n">
        <f aca="false">Ipotesi!$B$14*52/12*Ipotesi!$B$15</f>
        <v>1040</v>
      </c>
      <c r="S38" s="18" t="n">
        <f aca="false">J38*IF(A38&lt;=12,Ipotesi!$B$38,Ipotesi!$B$39)*Ipotesi!$B$22</f>
        <v>5400</v>
      </c>
      <c r="T38" s="18" t="n">
        <f aca="false">P38-Q38-R38-S38</f>
        <v>18348.7561688921</v>
      </c>
      <c r="U38" s="18" t="n">
        <f aca="false">U37+T38</f>
        <v>495061.659975095</v>
      </c>
      <c r="V38" s="18" t="n">
        <f aca="false">L38*Ipotesi!$B$20+IF(A38&gt;Ipotesi!$B$21,INDEX($L$5:$L$40,A38-Ipotesi!$B$21)*(1-Ipotesi!$B$20),0)+M38+N38+O38</f>
        <v>25408.7561688921</v>
      </c>
      <c r="W38" s="18" t="n">
        <f aca="false">V38-Q38-S38</f>
        <v>19388.7561688921</v>
      </c>
      <c r="X38" s="18" t="n">
        <f aca="false">X37+W38</f>
        <v>469116.220644551</v>
      </c>
      <c r="Y38" s="45" t="n">
        <f aca="false">IF(U38&gt;=0,A38,999)</f>
        <v>34</v>
      </c>
      <c r="Z38" s="20" t="n">
        <f aca="false">F38*SUMPRODUCT((Social!$C$6:$C$11&lt;=A38)*Social!$B$6:$B$11*Social!$I$6:$I$11)</f>
        <v>23.1852921719723</v>
      </c>
      <c r="AA38" s="20" t="n">
        <f aca="false">Z38*Ipotesi!$D$50</f>
        <v>10.4333814773875</v>
      </c>
      <c r="AB38" s="20" t="n">
        <f aca="false">AA38*Ipotesi!$D$51</f>
        <v>6.26002888643251</v>
      </c>
      <c r="AC38" s="20" t="n">
        <f aca="false">MIN(AB38,MAX(0,I38-J38))</f>
        <v>0</v>
      </c>
      <c r="AD38" s="18" t="n">
        <f aca="false">AC38*Ipotesi!$B$37+(AA38-AC38)*Ipotesi!$B$19</f>
        <v>1043.33814773875</v>
      </c>
      <c r="AE38" s="18" t="n">
        <f aca="false">SUMPRODUCT((Social!$C$6:$C$11&lt;=A38)*Social!$J$6:$J$11)</f>
        <v>920</v>
      </c>
      <c r="AF38" s="18" t="n">
        <f aca="false">SUMPRODUCT((Social!$C$6:$C$11&lt;=A38)*Social!$K$6:$K$11)</f>
        <v>433.333333333333</v>
      </c>
      <c r="AG38" s="18" t="n">
        <f aca="false">AC38*IF(A38&lt;=12,Ipotesi!$B$38,Ipotesi!$B$39)*Ipotesi!$B$22</f>
        <v>0</v>
      </c>
      <c r="AH38" s="18" t="n">
        <f aca="false">AD38-AE38-AF38-AG38</f>
        <v>-309.995185594581</v>
      </c>
      <c r="AI38" s="18" t="n">
        <f aca="false">AI37+AH38</f>
        <v>-10753.0107027482</v>
      </c>
      <c r="AJ38" s="18" t="n">
        <f aca="false">U38+AI38</f>
        <v>484308.649272347</v>
      </c>
      <c r="AK38" s="18" t="n">
        <f aca="false">AC38*Ipotesi!$B$37*Ipotesi!$B$20+IF(A38&gt;Ipotesi!$B$21,INDEX($AC$5:$AC$40,A38-Ipotesi!$B$21)*Ipotesi!$B$37*(1-Ipotesi!$B$20),0)+(AA38-AC38)*Ipotesi!$B$19</f>
        <v>1043.33814773875</v>
      </c>
      <c r="AL38" s="18" t="n">
        <f aca="false">X38+SUM($AK$5:AK38)-SUM($AE$5:AE38)-SUM($AG$5:AG38)</f>
        <v>472056.543275136</v>
      </c>
      <c r="AM38" s="45" t="n">
        <f aca="false">IF(AJ38&gt;=0,A38,999)</f>
        <v>34</v>
      </c>
    </row>
    <row r="39" customFormat="false" ht="15" hidden="false" customHeight="false" outlineLevel="0" collapsed="false">
      <c r="A39" s="25" t="n">
        <v>35</v>
      </c>
      <c r="B39" s="45" t="n">
        <f aca="false">INT((A39-1)/12)+1</f>
        <v>3</v>
      </c>
      <c r="C39" s="45" t="n">
        <f aca="false">MOD(Ipotesi!$B$7-1+A39-1,12)+1</f>
        <v>9</v>
      </c>
      <c r="D39" s="46" t="n">
        <f aca="false">INDEX(Ipotesi!$B$58:$B$69,C39)</f>
        <v>1.1</v>
      </c>
      <c r="E39" s="45" t="n">
        <f aca="false">Ipotesi!$D$47*MIN(1,(A39/Ipotesi!$B$18)^2)*(1+Ipotesi!$D$48)^(MAX(0,A39-12)/12)*D39</f>
        <v>35891.5480751173</v>
      </c>
      <c r="F39" s="20" t="n">
        <f aca="false">E39*Ipotesi!$D$49</f>
        <v>125.620418262911</v>
      </c>
      <c r="G39" s="20" t="n">
        <f aca="false">F39*Ipotesi!$D$50</f>
        <v>56.5291882183098</v>
      </c>
      <c r="H39" s="20" t="n">
        <f aca="false">G39*Ipotesi!$D$51</f>
        <v>33.9175129309859</v>
      </c>
      <c r="I39" s="20" t="n">
        <f aca="false">IF(A39&lt;=12,Ipotesi!$B$42,Ipotesi!$B$43)</f>
        <v>10.0418410041841</v>
      </c>
      <c r="J39" s="20" t="n">
        <f aca="false">MIN(H39,I39)</f>
        <v>10.0418410041841</v>
      </c>
      <c r="K39" s="20" t="n">
        <f aca="false">H39-J39</f>
        <v>23.8756719268018</v>
      </c>
      <c r="L39" s="18" t="n">
        <f aca="false">J39*Ipotesi!$B$37</f>
        <v>20435.1464435146</v>
      </c>
      <c r="M39" s="18" t="n">
        <f aca="false">(G39-J39)*Ipotesi!$B$19</f>
        <v>4648.73472141257</v>
      </c>
      <c r="N39" s="18" t="n">
        <f aca="false">IF(A39&gt;=Ipotesi!$B$26,Ipotesi!$D$52*Ipotesi!$B$25/12,0)</f>
        <v>1000</v>
      </c>
      <c r="O39" s="18" t="n">
        <f aca="false">IF(A39&gt;=Ipotesi!$B$27,Ipotesi!$D$53,0)</f>
        <v>1500</v>
      </c>
      <c r="P39" s="18" t="n">
        <f aca="false">SUM(L39:O39)</f>
        <v>27583.8811649272</v>
      </c>
      <c r="Q39" s="18" t="n">
        <f aca="false">IF(A39=1,Ipotesi!$B$10+Ipotesi!$B$11,0)+Ipotesi!$B$8*Ipotesi!$B$9+Ipotesi!$B$12+Ipotesi!$B$13+Ipotesi!$B$16*52/12*Ipotesi!$B$17</f>
        <v>620</v>
      </c>
      <c r="R39" s="18" t="n">
        <f aca="false">Ipotesi!$B$14*52/12*Ipotesi!$B$15</f>
        <v>1040</v>
      </c>
      <c r="S39" s="18" t="n">
        <f aca="false">J39*IF(A39&lt;=12,Ipotesi!$B$38,Ipotesi!$B$39)*Ipotesi!$B$22</f>
        <v>5400</v>
      </c>
      <c r="T39" s="18" t="n">
        <f aca="false">P39-Q39-R39-S39</f>
        <v>20523.8811649272</v>
      </c>
      <c r="U39" s="18" t="n">
        <f aca="false">U38+T39</f>
        <v>515585.541140022</v>
      </c>
      <c r="V39" s="18" t="n">
        <f aca="false">L39*Ipotesi!$B$20+IF(A39&gt;Ipotesi!$B$21,INDEX($L$5:$L$40,A39-Ipotesi!$B$21)*(1-Ipotesi!$B$20),0)+M39+N39+O39</f>
        <v>27583.8811649272</v>
      </c>
      <c r="W39" s="18" t="n">
        <f aca="false">V39-Q39-S39</f>
        <v>21563.8811649272</v>
      </c>
      <c r="X39" s="18" t="n">
        <f aca="false">X38+W39</f>
        <v>490680.101809478</v>
      </c>
      <c r="Y39" s="45" t="n">
        <f aca="false">IF(U39&gt;=0,A39,999)</f>
        <v>35</v>
      </c>
      <c r="Z39" s="20" t="n">
        <f aca="false">F39*SUMPRODUCT((Social!$C$6:$C$11&lt;=A39)*Social!$B$6:$B$11*Social!$I$6:$I$11)</f>
        <v>37.6861254788732</v>
      </c>
      <c r="AA39" s="20" t="n">
        <f aca="false">Z39*Ipotesi!$D$50</f>
        <v>16.9587564654929</v>
      </c>
      <c r="AB39" s="20" t="n">
        <f aca="false">AA39*Ipotesi!$D$51</f>
        <v>10.1752538792958</v>
      </c>
      <c r="AC39" s="20" t="n">
        <f aca="false">MIN(AB39,MAX(0,I39-J39))</f>
        <v>0</v>
      </c>
      <c r="AD39" s="18" t="n">
        <f aca="false">AC39*Ipotesi!$B$37+(AA39-AC39)*Ipotesi!$B$19</f>
        <v>1695.87564654929</v>
      </c>
      <c r="AE39" s="18" t="n">
        <f aca="false">SUMPRODUCT((Social!$C$6:$C$11&lt;=A39)*Social!$J$6:$J$11)</f>
        <v>920</v>
      </c>
      <c r="AF39" s="18" t="n">
        <f aca="false">SUMPRODUCT((Social!$C$6:$C$11&lt;=A39)*Social!$K$6:$K$11)</f>
        <v>433.333333333333</v>
      </c>
      <c r="AG39" s="18" t="n">
        <f aca="false">AC39*IF(A39&lt;=12,Ipotesi!$B$38,Ipotesi!$B$39)*Ipotesi!$B$22</f>
        <v>0</v>
      </c>
      <c r="AH39" s="18" t="n">
        <f aca="false">AD39-AE39-AF39-AG39</f>
        <v>342.542313215961</v>
      </c>
      <c r="AI39" s="18" t="n">
        <f aca="false">AI38+AH39</f>
        <v>-10410.4683895322</v>
      </c>
      <c r="AJ39" s="18" t="n">
        <f aca="false">U39+AI39</f>
        <v>505175.07275049</v>
      </c>
      <c r="AK39" s="18" t="n">
        <f aca="false">AC39*Ipotesi!$B$37*Ipotesi!$B$20+IF(A39&gt;Ipotesi!$B$21,INDEX($AC$5:$AC$40,A39-Ipotesi!$B$21)*Ipotesi!$B$37*(1-Ipotesi!$B$20),0)+(AA39-AC39)*Ipotesi!$B$19</f>
        <v>1695.87564654929</v>
      </c>
      <c r="AL39" s="18" t="n">
        <f aca="false">X39+SUM($AK$5:AK39)-SUM($AE$5:AE39)-SUM($AG$5:AG39)</f>
        <v>494396.300086613</v>
      </c>
      <c r="AM39" s="45" t="n">
        <f aca="false">IF(AJ39&gt;=0,A39,999)</f>
        <v>35</v>
      </c>
    </row>
    <row r="40" customFormat="false" ht="15" hidden="false" customHeight="false" outlineLevel="0" collapsed="false">
      <c r="A40" s="25" t="n">
        <v>36</v>
      </c>
      <c r="B40" s="45" t="n">
        <f aca="false">INT((A40-1)/12)+1</f>
        <v>3</v>
      </c>
      <c r="C40" s="45" t="n">
        <f aca="false">MOD(Ipotesi!$B$7-1+A40-1,12)+1</f>
        <v>10</v>
      </c>
      <c r="D40" s="46" t="n">
        <f aca="false">INDEX(Ipotesi!$B$58:$B$69,C40)</f>
        <v>1.1</v>
      </c>
      <c r="E40" s="45" t="n">
        <f aca="false">Ipotesi!$D$47*MIN(1,(A40/Ipotesi!$B$18)^2)*(1+Ipotesi!$D$48)^(MAX(0,A40-12)/12)*D40</f>
        <v>37125</v>
      </c>
      <c r="F40" s="20" t="n">
        <f aca="false">E40*Ipotesi!$D$49</f>
        <v>129.9375</v>
      </c>
      <c r="G40" s="20" t="n">
        <f aca="false">F40*Ipotesi!$D$50</f>
        <v>58.471875</v>
      </c>
      <c r="H40" s="20" t="n">
        <f aca="false">G40*Ipotesi!$D$51</f>
        <v>35.083125</v>
      </c>
      <c r="I40" s="20" t="n">
        <f aca="false">IF(A40&lt;=12,Ipotesi!$B$42,Ipotesi!$B$43)</f>
        <v>10.0418410041841</v>
      </c>
      <c r="J40" s="20" t="n">
        <f aca="false">MIN(H40,I40)</f>
        <v>10.0418410041841</v>
      </c>
      <c r="K40" s="20" t="n">
        <f aca="false">H40-J40</f>
        <v>25.0412839958159</v>
      </c>
      <c r="L40" s="18" t="n">
        <f aca="false">J40*Ipotesi!$B$37</f>
        <v>20435.1464435146</v>
      </c>
      <c r="M40" s="18" t="n">
        <f aca="false">(G40-J40)*Ipotesi!$B$19</f>
        <v>4843.00339958159</v>
      </c>
      <c r="N40" s="18" t="n">
        <f aca="false">IF(A40&gt;=Ipotesi!$B$26,Ipotesi!$D$52*Ipotesi!$B$25/12,0)</f>
        <v>1000</v>
      </c>
      <c r="O40" s="18" t="n">
        <f aca="false">IF(A40&gt;=Ipotesi!$B$27,Ipotesi!$D$53,0)</f>
        <v>1500</v>
      </c>
      <c r="P40" s="18" t="n">
        <f aca="false">SUM(L40:O40)</f>
        <v>27778.1498430962</v>
      </c>
      <c r="Q40" s="18" t="n">
        <f aca="false">IF(A40=1,Ipotesi!$B$10+Ipotesi!$B$11,0)+Ipotesi!$B$8*Ipotesi!$B$9+Ipotesi!$B$12+Ipotesi!$B$13+Ipotesi!$B$16*52/12*Ipotesi!$B$17</f>
        <v>620</v>
      </c>
      <c r="R40" s="18" t="n">
        <f aca="false">Ipotesi!$B$14*52/12*Ipotesi!$B$15</f>
        <v>1040</v>
      </c>
      <c r="S40" s="18" t="n">
        <f aca="false">J40*IF(A40&lt;=12,Ipotesi!$B$38,Ipotesi!$B$39)*Ipotesi!$B$22</f>
        <v>5400</v>
      </c>
      <c r="T40" s="18" t="n">
        <f aca="false">P40-Q40-R40-S40</f>
        <v>20718.1498430962</v>
      </c>
      <c r="U40" s="18" t="n">
        <f aca="false">U39+T40</f>
        <v>536303.690983118</v>
      </c>
      <c r="V40" s="18" t="n">
        <f aca="false">L40*Ipotesi!$B$20+IF(A40&gt;Ipotesi!$B$21,INDEX($L$5:$L$40,A40-Ipotesi!$B$21)*(1-Ipotesi!$B$20),0)+M40+N40+O40</f>
        <v>27778.1498430962</v>
      </c>
      <c r="W40" s="18" t="n">
        <f aca="false">V40-Q40-S40</f>
        <v>21758.1498430962</v>
      </c>
      <c r="X40" s="18" t="n">
        <f aca="false">X39+W40</f>
        <v>512438.251652575</v>
      </c>
      <c r="Y40" s="45" t="n">
        <f aca="false">IF(U40&gt;=0,A40,999)</f>
        <v>36</v>
      </c>
      <c r="Z40" s="20" t="n">
        <f aca="false">F40*SUMPRODUCT((Social!$C$6:$C$11&lt;=A40)*Social!$B$6:$B$11*Social!$I$6:$I$11)</f>
        <v>38.98125</v>
      </c>
      <c r="AA40" s="20" t="n">
        <f aca="false">Z40*Ipotesi!$D$50</f>
        <v>17.5415625</v>
      </c>
      <c r="AB40" s="20" t="n">
        <f aca="false">AA40*Ipotesi!$D$51</f>
        <v>10.5249375</v>
      </c>
      <c r="AC40" s="20" t="n">
        <f aca="false">MIN(AB40,MAX(0,I40-J40))</f>
        <v>0</v>
      </c>
      <c r="AD40" s="18" t="n">
        <f aca="false">AC40*Ipotesi!$B$37+(AA40-AC40)*Ipotesi!$B$19</f>
        <v>1754.15625</v>
      </c>
      <c r="AE40" s="18" t="n">
        <f aca="false">SUMPRODUCT((Social!$C$6:$C$11&lt;=A40)*Social!$J$6:$J$11)</f>
        <v>920</v>
      </c>
      <c r="AF40" s="18" t="n">
        <f aca="false">SUMPRODUCT((Social!$C$6:$C$11&lt;=A40)*Social!$K$6:$K$11)</f>
        <v>433.333333333333</v>
      </c>
      <c r="AG40" s="18" t="n">
        <f aca="false">AC40*IF(A40&lt;=12,Ipotesi!$B$38,Ipotesi!$B$39)*Ipotesi!$B$22</f>
        <v>0</v>
      </c>
      <c r="AH40" s="18" t="n">
        <f aca="false">AD40-AE40-AF40-AG40</f>
        <v>400.822916666667</v>
      </c>
      <c r="AI40" s="18" t="n">
        <f aca="false">AI39+AH40</f>
        <v>-10009.6454728655</v>
      </c>
      <c r="AJ40" s="18" t="n">
        <f aca="false">U40+AI40</f>
        <v>526294.045510253</v>
      </c>
      <c r="AK40" s="18" t="n">
        <f aca="false">AC40*Ipotesi!$B$37*Ipotesi!$B$20+IF(A40&gt;Ipotesi!$B$21,INDEX($AC$5:$AC$40,A40-Ipotesi!$B$21)*Ipotesi!$B$37*(1-Ipotesi!$B$20),0)+(AA40-AC40)*Ipotesi!$B$19</f>
        <v>1754.15625</v>
      </c>
      <c r="AL40" s="18" t="n">
        <f aca="false">X40+SUM($AK$5:AK40)-SUM($AE$5:AE40)-SUM($AG$5:AG40)</f>
        <v>516988.606179709</v>
      </c>
      <c r="AM40" s="45" t="n">
        <f aca="false">IF(AJ40&gt;=0,A40,999)</f>
        <v>36</v>
      </c>
    </row>
    <row r="41" customFormat="false" ht="15" hidden="false" customHeight="false" outlineLevel="0" collapsed="false">
      <c r="A41" s="33" t="s">
        <v>306</v>
      </c>
      <c r="B41" s="42"/>
      <c r="C41" s="42"/>
      <c r="D41" s="42"/>
      <c r="E41" s="47" t="n">
        <f aca="false">SUM(E5:E40)</f>
        <v>697088.889628507</v>
      </c>
      <c r="F41" s="36" t="n">
        <f aca="false">SUM(F5:F40)</f>
        <v>2439.81111369978</v>
      </c>
      <c r="G41" s="36" t="n">
        <f aca="false">SUM(G5:G40)</f>
        <v>1097.9150011649</v>
      </c>
      <c r="H41" s="36" t="n">
        <f aca="false">SUM(H5:H40)</f>
        <v>658.749000698939</v>
      </c>
      <c r="I41" s="42"/>
      <c r="J41" s="36" t="n">
        <f aca="false">SUM(J5:J40)</f>
        <v>323.522773784433</v>
      </c>
      <c r="K41" s="36" t="n">
        <f aca="false">SUM(K5:K40)</f>
        <v>335.226226914506</v>
      </c>
      <c r="L41" s="35" t="n">
        <f aca="false">SUM(L5:L40)</f>
        <v>658368.844651322</v>
      </c>
      <c r="M41" s="35" t="n">
        <f aca="false">SUM(M5:M40)</f>
        <v>77439.2227380466</v>
      </c>
      <c r="N41" s="35" t="n">
        <f aca="false">SUM(N5:N40)</f>
        <v>24000</v>
      </c>
      <c r="O41" s="35" t="n">
        <f aca="false">SUM(O5:O40)</f>
        <v>18000</v>
      </c>
      <c r="P41" s="35" t="n">
        <f aca="false">SUM(P5:P40)</f>
        <v>777808.067389368</v>
      </c>
      <c r="Q41" s="35" t="n">
        <f aca="false">SUM(Q5:Q40)</f>
        <v>24520</v>
      </c>
      <c r="R41" s="35" t="n">
        <f aca="false">SUM(R5:R40)</f>
        <v>37440</v>
      </c>
      <c r="S41" s="35" t="n">
        <f aca="false">SUM(S5:S40)</f>
        <v>179544.37640625</v>
      </c>
      <c r="T41" s="35" t="n">
        <f aca="false">SUM(T5:T40)</f>
        <v>536303.690983118</v>
      </c>
      <c r="U41" s="42"/>
      <c r="V41" s="35" t="n">
        <f aca="false">SUM(V5:V40)</f>
        <v>716502.628058825</v>
      </c>
      <c r="W41" s="35" t="n">
        <f aca="false">SUM(W5:W40)</f>
        <v>512438.251652574</v>
      </c>
      <c r="X41" s="42"/>
      <c r="Y41" s="42"/>
      <c r="Z41" s="36" t="n">
        <f aca="false">SUM(Z5:Z40)</f>
        <v>731.046459109933</v>
      </c>
      <c r="AA41" s="36" t="n">
        <f aca="false">SUM(AA5:AA40)</f>
        <v>328.97090659947</v>
      </c>
      <c r="AB41" s="36" t="n">
        <f aca="false">SUM(AB5:AB40)</f>
        <v>197.382543959682</v>
      </c>
      <c r="AC41" s="36" t="n">
        <f aca="false">SUM(AC5:AC40)</f>
        <v>3.10078125</v>
      </c>
      <c r="AD41" s="35" t="n">
        <f aca="false">SUM(AD5:AD40)</f>
        <v>38897.102378697</v>
      </c>
      <c r="AE41" s="35" t="n">
        <f aca="false">SUM(AE5:AE40)</f>
        <v>32470</v>
      </c>
      <c r="AF41" s="35" t="n">
        <f aca="false">SUM(AF5:AF40)</f>
        <v>14560</v>
      </c>
      <c r="AG41" s="35" t="n">
        <f aca="false">SUM(AG5:AG40)</f>
        <v>1876.7478515625</v>
      </c>
      <c r="AH41" s="35" t="n">
        <f aca="false">SUM(AH5:AH40)</f>
        <v>-10009.6454728655</v>
      </c>
      <c r="AI41" s="42"/>
      <c r="AJ41" s="42"/>
      <c r="AK41" s="35" t="n">
        <f aca="false">SUM(AK5:AK40)</f>
        <v>38897.102378697</v>
      </c>
      <c r="AL41" s="42"/>
      <c r="AM41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2026-10-17T00:55:44Z</dcterms:created>
  <dc:creator>openpyxl</dc:creator>
  <dc:description/>
  <dc:language>en-US</dc:language>
  <cp:lastModifiedBy/>
  <dcterms:modified xsi:type="dcterms:W3CDTF">2026-10-17T00:55:48Z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